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strucciones" sheetId="1" state="visible" r:id="rId1"/>
    <sheet name="Ej1_Nomenclatura" sheetId="2" state="visible" r:id="rId2"/>
    <sheet name="Ej1_Solucion" sheetId="3" state="visible" r:id="rId3"/>
    <sheet name="Ej2_Limpieza" sheetId="4" state="visible" r:id="rId4"/>
    <sheet name="Ej2_Solucion" sheetId="5" state="visible" r:id="rId5"/>
    <sheet name="Ej3_Validacion" sheetId="6" state="visible" r:id="rId6"/>
    <sheet name="Ej4_Catalogo_WC" sheetId="7" state="visible" r:id="rId7"/>
    <sheet name="Ej4_Mediciones" sheetId="8" state="visible" r:id="rId8"/>
    <sheet name="Ej4_Solucion" sheetId="9" state="visible" r:id="rId9"/>
    <sheet name="Ej5_Duplicados" sheetId="10" state="visible" r:id="rId10"/>
    <sheet name="Ej6_Calida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Segoe UI"/>
      <b val="1"/>
      <color rgb="00E2231A"/>
      <sz val="18"/>
    </font>
    <font>
      <name val="Segoe UI"/>
      <i val="1"/>
      <color rgb="00595959"/>
      <sz val="11"/>
    </font>
    <font>
      <name val="Segoe UI"/>
      <b val="1"/>
      <color rgb="00FFFFFF"/>
      <sz val="14"/>
    </font>
    <font>
      <name val="Segoe UI"/>
      <b val="1"/>
      <color rgb="00E2231A"/>
      <sz val="12"/>
    </font>
    <font>
      <name val="Segoe UI"/>
      <b val="1"/>
      <sz val="11"/>
    </font>
    <font>
      <name val="Segoe UI"/>
      <sz val="11"/>
    </font>
    <font>
      <name val="Segoe UI"/>
      <b val="1"/>
      <color rgb="00E2231A"/>
      <sz val="11"/>
    </font>
    <font>
      <name val="Segoe UI"/>
      <b val="1"/>
      <color rgb="000E0E10"/>
      <sz val="11"/>
    </font>
    <font>
      <name val="Segoe UI"/>
      <i val="1"/>
      <color rgb="008B5A00"/>
      <sz val="11"/>
    </font>
    <font>
      <name val="Segoe UI"/>
      <b val="1"/>
      <color rgb="00FFFFFF"/>
      <sz val="11"/>
    </font>
    <font>
      <name val="Consolas"/>
      <color rgb="00B81810"/>
      <sz val="10"/>
    </font>
    <font>
      <name val="Consolas"/>
      <b val="1"/>
      <color rgb="000F7B3F"/>
      <sz val="10"/>
    </font>
  </fonts>
  <fills count="9">
    <fill>
      <patternFill/>
    </fill>
    <fill>
      <patternFill patternType="gray125"/>
    </fill>
    <fill>
      <patternFill patternType="solid">
        <fgColor rgb="000E0E10"/>
      </patternFill>
    </fill>
    <fill>
      <patternFill patternType="solid">
        <fgColor rgb="00F4F4F5"/>
      </patternFill>
    </fill>
    <fill>
      <patternFill patternType="solid">
        <fgColor rgb="00FFF4DC"/>
      </patternFill>
    </fill>
    <fill>
      <patternFill patternType="solid">
        <fgColor rgb="00E2231A"/>
      </patternFill>
    </fill>
    <fill>
      <patternFill patternType="solid">
        <fgColor rgb="00FDE7E5"/>
      </patternFill>
    </fill>
    <fill>
      <patternFill patternType="solid">
        <fgColor rgb="00FFFDE7"/>
      </patternFill>
    </fill>
    <fill>
      <patternFill patternType="solid">
        <fgColor rgb="00E7F8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left" vertical="top" wrapText="1" indent="1"/>
    </xf>
    <xf numFmtId="0" fontId="9" fillId="4" borderId="1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left" vertical="center" wrapText="1" indent="1"/>
    </xf>
    <xf numFmtId="0" fontId="6" fillId="6" borderId="1" applyAlignment="1" pivotButton="0" quotePrefix="0" xfId="0">
      <alignment horizontal="left" vertical="center" wrapText="1" indent="1"/>
    </xf>
    <xf numFmtId="0" fontId="11" fillId="7" borderId="1" applyAlignment="1" pivotButton="0" quotePrefix="0" xfId="0">
      <alignment horizontal="left" vertical="center" wrapText="1" indent="1"/>
    </xf>
    <xf numFmtId="164" fontId="6" fillId="0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left" vertical="center" wrapText="1" indent="1"/>
    </xf>
    <xf numFmtId="0" fontId="2" fillId="0" borderId="0" pivotButton="0" quotePrefix="0" xfId="0"/>
    <xf numFmtId="0" fontId="12" fillId="8" borderId="1" applyAlignment="1" pivotButton="0" quotePrefix="0" xfId="0">
      <alignment horizontal="left" vertical="center" wrapText="1" indent="1"/>
    </xf>
    <xf numFmtId="0" fontId="6" fillId="7" borderId="1" applyAlignment="1" pivotButton="0" quotePrefix="0" xfId="0">
      <alignment horizontal="left" vertical="center" wrapText="1" indent="1"/>
    </xf>
    <xf numFmtId="0" fontId="10" fillId="2" borderId="0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1" pivotButton="0" quotePrefix="0" xfId="0"/>
    <xf numFmtId="164" fontId="0" fillId="0" borderId="1" pivotButton="0" quotePrefix="0" xfId="0"/>
    <xf numFmtId="0" fontId="0" fillId="7" borderId="1" pivotButton="0" quotePrefix="0" xfId="0"/>
    <xf numFmtId="0" fontId="12" fillId="8" borderId="1" pivotButton="0" quotePrefix="0" xfId="0"/>
    <xf numFmtId="0" fontId="1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CA5A5"/>
        </patternFill>
      </fill>
    </dxf>
    <dxf>
      <fill>
        <patternFill patternType="solid">
          <fgColor rgb="00FDE6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0E10"/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70" customWidth="1" min="3" max="3"/>
  </cols>
  <sheetData>
    <row r="1" ht="32" customHeight="1">
      <c r="A1" s="1" t="inlineStr">
        <is>
          <t>AUMOVIO  Ejercicios Excel  Manejo y Organizacion de Datos</t>
        </is>
      </c>
    </row>
    <row r="2" ht="22" customHeight="1">
      <c r="A2" s="2" t="inlineStr">
        <is>
          <t>Capacitacion para ingenieros  nivel intermedio  6 ejercicios practicos</t>
        </is>
      </c>
    </row>
    <row r="4" ht="28" customHeight="1">
      <c r="A4" s="3" t="inlineStr">
        <is>
          <t>Como usar este libro</t>
        </is>
      </c>
    </row>
    <row r="6" ht="22" customHeight="1">
      <c r="A6" s="4" t="inlineStr">
        <is>
          <t>1.</t>
        </is>
      </c>
      <c r="B6" s="5" t="inlineStr">
        <is>
          <t>Lee las INSTRUCCIONES</t>
        </is>
      </c>
      <c r="C6" s="6" t="inlineStr">
        <is>
          <t>Cada ejercicio explica el objetivo, los datos y los pasos sugeridos.</t>
        </is>
      </c>
    </row>
    <row r="7" ht="22" customHeight="1">
      <c r="A7" s="4" t="inlineStr">
        <is>
          <t>2.</t>
        </is>
      </c>
      <c r="B7" s="5" t="inlineStr">
        <is>
          <t>Trabaja en la hoja de EJERCICIO</t>
        </is>
      </c>
      <c r="C7" s="6" t="inlineStr">
        <is>
          <t>Las celdas en amarillo son las que debes completar.</t>
        </is>
      </c>
    </row>
    <row r="8" ht="22" customHeight="1">
      <c r="A8" s="4" t="inlineStr">
        <is>
          <t>3.</t>
        </is>
      </c>
      <c r="B8" s="5" t="inlineStr">
        <is>
          <t>Verifica con la hoja SOLUCION</t>
        </is>
      </c>
      <c r="C8" s="6" t="inlineStr">
        <is>
          <t>Esta oculta o al final  abrela solo despues de intentarlo.</t>
        </is>
      </c>
    </row>
    <row r="9" ht="22" customHeight="1">
      <c r="A9" s="4" t="inlineStr">
        <is>
          <t>4.</t>
        </is>
      </c>
      <c r="B9" s="5" t="inlineStr">
        <is>
          <t>Pregunta si te atoras</t>
        </is>
      </c>
      <c r="C9" s="6" t="inlineStr">
        <is>
          <t>Equipo de Data Governance  data.governance@aumovio.com</t>
        </is>
      </c>
    </row>
    <row r="12" ht="26" customHeight="1">
      <c r="A12" s="3" t="inlineStr">
        <is>
          <t>Indice de ejercicios</t>
        </is>
      </c>
    </row>
    <row r="13" ht="20" customHeight="1">
      <c r="A13" s="7" t="inlineStr">
        <is>
          <t>Ej 1</t>
        </is>
      </c>
      <c r="B13" s="5" t="inlineStr">
        <is>
          <t>Nomenclatura ISO con formulas</t>
        </is>
      </c>
      <c r="C13" s="6" t="inlineStr">
        <is>
          <t>Construir nombres de archivo estandar (TEXTO, CONCAT, DERECHA, IZQUIERDA)</t>
        </is>
      </c>
    </row>
    <row r="14" ht="20" customHeight="1">
      <c r="A14" s="7" t="inlineStr">
        <is>
          <t>Ej 2</t>
        </is>
      </c>
      <c r="B14" s="5" t="inlineStr">
        <is>
          <t>Limpieza de datos sucios</t>
        </is>
      </c>
      <c r="C14" s="6" t="inlineStr">
        <is>
          <t>Quitar espacios, normalizar mayusculas, sustituir caracteres (ESPACIOS, LIMPIAR, SUSTITUIR, NOMPROPIO)</t>
        </is>
      </c>
    </row>
    <row r="15" ht="20" customHeight="1">
      <c r="A15" s="7" t="inlineStr">
        <is>
          <t>Ej 3</t>
        </is>
      </c>
      <c r="B15" s="5" t="inlineStr">
        <is>
          <t>Validacion de datos y listas</t>
        </is>
      </c>
      <c r="C15" s="6" t="inlineStr">
        <is>
          <t>Crear dropdowns y reglas (Datos &gt; Validacion de datos)</t>
        </is>
      </c>
    </row>
    <row r="16" ht="20" customHeight="1">
      <c r="A16" s="7" t="inlineStr">
        <is>
          <t>Ej 4</t>
        </is>
      </c>
      <c r="B16" s="5" t="inlineStr">
        <is>
          <t>BUSCARX para cruce de catalogos</t>
        </is>
      </c>
      <c r="C16" s="6" t="inlineStr">
        <is>
          <t>Cruzar Work Center con linea/planta (BUSCARX, SI.ERROR)</t>
        </is>
      </c>
    </row>
    <row r="17" ht="20" customHeight="1">
      <c r="A17" s="7" t="inlineStr">
        <is>
          <t>Ej 5</t>
        </is>
      </c>
      <c r="B17" s="5" t="inlineStr">
        <is>
          <t>Detectar duplicados y anomalias</t>
        </is>
      </c>
      <c r="C17" s="6" t="inlineStr">
        <is>
          <t>Formato condicional + CONTAR.SI + reglas con formula</t>
        </is>
      </c>
    </row>
    <row r="18" ht="20" customHeight="1">
      <c r="A18" s="7" t="inlineStr">
        <is>
          <t>Ej 6</t>
        </is>
      </c>
      <c r="B18" s="5" t="inlineStr">
        <is>
          <t>Tabla dinamica de calidad</t>
        </is>
      </c>
      <c r="C18" s="6" t="inlineStr">
        <is>
          <t>Construir Pivot por linea, turno y tipo de defecto</t>
        </is>
      </c>
    </row>
  </sheetData>
  <mergeCells count="4">
    <mergeCell ref="A1:C1"/>
    <mergeCell ref="A4:C4"/>
    <mergeCell ref="A2:C2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2231A"/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8" customWidth="1" min="5" max="5"/>
    <col width="10" customWidth="1" min="6" max="6"/>
    <col width="50" customWidth="1" min="7" max="7"/>
  </cols>
  <sheetData>
    <row r="1" ht="32" customHeight="1">
      <c r="A1" s="1" t="inlineStr">
        <is>
          <t>Ejercicio 1  Nomenclatura ISO con formulas</t>
        </is>
      </c>
    </row>
    <row r="2" ht="22" customHeight="1">
      <c r="A2" s="2" t="inlineStr">
        <is>
          <t>Convertir datos sueltos en un nombre de archivo estandar y ordenable</t>
        </is>
      </c>
    </row>
    <row r="4" ht="42" customHeight="1">
      <c r="A4" s="8" t="inlineStr">
        <is>
          <t>OBJETIVO: a partir de Fecha, Area, Proceso, Tipo, Version y Autor, construir el nombre estandar en la columna G con el patron:   YYYY-MM-DD_Area_Proceso_Tipo_vNN_AUT.xlsx</t>
        </is>
      </c>
    </row>
    <row r="5" ht="42" customHeight="1">
      <c r="A5" s="9" t="inlineStr">
        <is>
          <t>PASO 1:  En G8 escribe la formula que arme el nombre. PASO 2: copiala hacia abajo. PISTA:  =TEXTO(A8,"yyyy-mm-dd")&amp;"_"&amp;B8&amp;"_"&amp;C8&amp;"_"&amp;D8&amp;"_v"&amp;TEXTO(E8,"00")&amp;"_"&amp;F8&amp;".xlsx"</t>
        </is>
      </c>
    </row>
    <row r="7" ht="24" customHeight="1">
      <c r="A7" s="10" t="inlineStr">
        <is>
          <t>Fecha</t>
        </is>
      </c>
      <c r="B7" s="10" t="inlineStr">
        <is>
          <t>Area</t>
        </is>
      </c>
      <c r="C7" s="10" t="inlineStr">
        <is>
          <t>Proceso</t>
        </is>
      </c>
      <c r="D7" s="10" t="inlineStr">
        <is>
          <t>Tipo</t>
        </is>
      </c>
      <c r="E7" s="10" t="inlineStr">
        <is>
          <t>Version</t>
        </is>
      </c>
      <c r="F7" s="10" t="inlineStr">
        <is>
          <t>Autor</t>
        </is>
      </c>
      <c r="G7" s="10" t="inlineStr">
        <is>
          <t>Nombre estandar (formula aqui)</t>
        </is>
      </c>
    </row>
    <row r="8">
      <c r="A8" s="11" t="n">
        <v>46154</v>
      </c>
      <c r="B8" s="12" t="inlineStr">
        <is>
          <t>Calidad</t>
        </is>
      </c>
      <c r="C8" s="12" t="inlineStr">
        <is>
          <t>LineaA03</t>
        </is>
      </c>
      <c r="D8" s="12" t="inlineStr">
        <is>
          <t>FPY</t>
        </is>
      </c>
      <c r="E8" s="12" t="n">
        <v>1</v>
      </c>
      <c r="F8" s="12" t="inlineStr">
        <is>
          <t>JGM</t>
        </is>
      </c>
      <c r="G8" s="13" t="inlineStr"/>
    </row>
    <row r="9">
      <c r="A9" s="14" t="n">
        <v>46154</v>
      </c>
      <c r="B9" s="15" t="inlineStr">
        <is>
          <t>Calidad</t>
        </is>
      </c>
      <c r="C9" s="15" t="inlineStr">
        <is>
          <t>LineaA03</t>
        </is>
      </c>
      <c r="D9" s="15" t="inlineStr">
        <is>
          <t>FPY</t>
        </is>
      </c>
      <c r="E9" s="15" t="n">
        <v>2</v>
      </c>
      <c r="F9" s="15" t="inlineStr">
        <is>
          <t>JGM</t>
        </is>
      </c>
      <c r="G9" s="13" t="inlineStr"/>
    </row>
    <row r="10">
      <c r="A10" s="11" t="n">
        <v>46161</v>
      </c>
      <c r="B10" s="12" t="inlineStr">
        <is>
          <t>Calidad</t>
        </is>
      </c>
      <c r="C10" s="12" t="inlineStr">
        <is>
          <t>LineaA03</t>
        </is>
      </c>
      <c r="D10" s="12" t="inlineStr">
        <is>
          <t>Scrap</t>
        </is>
      </c>
      <c r="E10" s="12" t="n">
        <v>1</v>
      </c>
      <c r="F10" s="12" t="inlineStr">
        <is>
          <t>MLR</t>
        </is>
      </c>
      <c r="G10" s="13" t="inlineStr"/>
    </row>
    <row r="11">
      <c r="A11" s="14" t="n">
        <v>46163</v>
      </c>
      <c r="B11" s="15" t="inlineStr">
        <is>
          <t>Produccion</t>
        </is>
      </c>
      <c r="C11" s="15" t="inlineStr">
        <is>
          <t>LineaB07</t>
        </is>
      </c>
      <c r="D11" s="15" t="inlineStr">
        <is>
          <t>OEE</t>
        </is>
      </c>
      <c r="E11" s="15" t="n">
        <v>1</v>
      </c>
      <c r="F11" s="15" t="inlineStr">
        <is>
          <t>RNH</t>
        </is>
      </c>
      <c r="G11" s="13" t="inlineStr"/>
    </row>
    <row r="12">
      <c r="A12" s="11" t="n">
        <v>46164</v>
      </c>
      <c r="B12" s="12" t="inlineStr">
        <is>
          <t>Mantenimiento</t>
        </is>
      </c>
      <c r="C12" s="12" t="inlineStr">
        <is>
          <t>LineaA03</t>
        </is>
      </c>
      <c r="D12" s="12" t="inlineStr">
        <is>
          <t>Paro</t>
        </is>
      </c>
      <c r="E12" s="12" t="n">
        <v>3</v>
      </c>
      <c r="F12" s="12" t="inlineStr">
        <is>
          <t>EVT</t>
        </is>
      </c>
      <c r="G12" s="13" t="inlineStr"/>
    </row>
    <row r="13">
      <c r="A13" s="14" t="n">
        <v>46167</v>
      </c>
      <c r="B13" s="15" t="inlineStr">
        <is>
          <t>Logistica</t>
        </is>
      </c>
      <c r="C13" s="15" t="inlineStr">
        <is>
          <t>Almacen2</t>
        </is>
      </c>
      <c r="D13" s="15" t="inlineStr">
        <is>
          <t>Inventario</t>
        </is>
      </c>
      <c r="E13" s="15" t="n">
        <v>1</v>
      </c>
      <c r="F13" s="15" t="inlineStr">
        <is>
          <t>CPM</t>
        </is>
      </c>
      <c r="G13" s="13" t="inlineStr"/>
    </row>
    <row r="14">
      <c r="A14" s="11" t="n">
        <v>46168</v>
      </c>
      <c r="B14" s="12" t="inlineStr">
        <is>
          <t>Ingenieria</t>
        </is>
      </c>
      <c r="C14" s="12" t="inlineStr">
        <is>
          <t>LineaC11</t>
        </is>
      </c>
      <c r="D14" s="12" t="inlineStr">
        <is>
          <t>DOE</t>
        </is>
      </c>
      <c r="E14" s="12" t="n">
        <v>2</v>
      </c>
      <c r="F14" s="12" t="inlineStr">
        <is>
          <t>ASR</t>
        </is>
      </c>
      <c r="G14" s="13" t="inlineStr"/>
    </row>
    <row r="15">
      <c r="A15" s="14" t="n">
        <v>46168</v>
      </c>
      <c r="B15" s="15" t="inlineStr">
        <is>
          <t>Calidad</t>
        </is>
      </c>
      <c r="C15" s="15" t="inlineStr">
        <is>
          <t>LineaB07</t>
        </is>
      </c>
      <c r="D15" s="15" t="inlineStr">
        <is>
          <t>CpCpk</t>
        </is>
      </c>
      <c r="E15" s="15" t="n">
        <v>1</v>
      </c>
      <c r="F15" s="15" t="inlineStr">
        <is>
          <t>JGM</t>
        </is>
      </c>
      <c r="G15" s="13" t="inlineStr"/>
    </row>
    <row r="18">
      <c r="A18" s="16" t="inlineStr">
        <is>
          <t>VERIFICA tu resultado contra la hoja Ej1_Solucion</t>
        </is>
      </c>
    </row>
  </sheetData>
  <mergeCells count="4">
    <mergeCell ref="A2:G2"/>
    <mergeCell ref="A1:G1"/>
    <mergeCell ref="A5:G5"/>
    <mergeCell ref="A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7B3F"/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8" customWidth="1" min="5" max="5"/>
    <col width="10" customWidth="1" min="6" max="6"/>
    <col width="55" customWidth="1" min="7" max="7"/>
  </cols>
  <sheetData>
    <row r="1" ht="32" customHeight="1">
      <c r="A1" s="1" t="inlineStr">
        <is>
          <t>Solucion  Ejercicio 1</t>
        </is>
      </c>
    </row>
    <row r="2" ht="22" customHeight="1">
      <c r="A2" s="2" t="inlineStr">
        <is>
          <t>Patron: =TEXTO(A,"yyyy-mm-dd")&amp;"_"&amp;B&amp;"_"&amp;C&amp;"_"&amp;D&amp;"_v"&amp;TEXTO(E,"00")&amp;"_"&amp;F&amp;".xlsx"</t>
        </is>
      </c>
    </row>
    <row r="4" ht="24" customHeight="1">
      <c r="A4" s="10" t="inlineStr">
        <is>
          <t>Fecha</t>
        </is>
      </c>
      <c r="B4" s="10" t="inlineStr">
        <is>
          <t>Area</t>
        </is>
      </c>
      <c r="C4" s="10" t="inlineStr">
        <is>
          <t>Proceso</t>
        </is>
      </c>
      <c r="D4" s="10" t="inlineStr">
        <is>
          <t>Tipo</t>
        </is>
      </c>
      <c r="E4" s="10" t="inlineStr">
        <is>
          <t>Version</t>
        </is>
      </c>
      <c r="F4" s="10" t="inlineStr">
        <is>
          <t>Autor</t>
        </is>
      </c>
      <c r="G4" s="10" t="inlineStr">
        <is>
          <t>Nombre estandar (solucion)</t>
        </is>
      </c>
    </row>
    <row r="5">
      <c r="A5" s="14" t="n">
        <v>46154</v>
      </c>
      <c r="B5" s="15" t="inlineStr">
        <is>
          <t>Calidad</t>
        </is>
      </c>
      <c r="C5" s="15" t="inlineStr">
        <is>
          <t>LineaA03</t>
        </is>
      </c>
      <c r="D5" s="15" t="inlineStr">
        <is>
          <t>FPY</t>
        </is>
      </c>
      <c r="E5" s="15" t="n">
        <v>1</v>
      </c>
      <c r="F5" s="15" t="inlineStr">
        <is>
          <t>JGM</t>
        </is>
      </c>
      <c r="G5" s="17">
        <f>TEXT(A5,"yyyy-mm-dd")&amp;"_"&amp;B5&amp;"_"&amp;C5&amp;"_"&amp;D5&amp;"_v"&amp;TEXT(E5,"00")&amp;"_"&amp;F5&amp;".xlsx"</f>
        <v/>
      </c>
    </row>
    <row r="6">
      <c r="A6" s="14" t="n">
        <v>46154</v>
      </c>
      <c r="B6" s="15" t="inlineStr">
        <is>
          <t>Calidad</t>
        </is>
      </c>
      <c r="C6" s="15" t="inlineStr">
        <is>
          <t>LineaA03</t>
        </is>
      </c>
      <c r="D6" s="15" t="inlineStr">
        <is>
          <t>FPY</t>
        </is>
      </c>
      <c r="E6" s="15" t="n">
        <v>2</v>
      </c>
      <c r="F6" s="15" t="inlineStr">
        <is>
          <t>JGM</t>
        </is>
      </c>
      <c r="G6" s="17">
        <f>TEXT(A6,"yyyy-mm-dd")&amp;"_"&amp;B6&amp;"_"&amp;C6&amp;"_"&amp;D6&amp;"_v"&amp;TEXT(E6,"00")&amp;"_"&amp;F6&amp;".xlsx"</f>
        <v/>
      </c>
    </row>
    <row r="7">
      <c r="A7" s="14" t="n">
        <v>46161</v>
      </c>
      <c r="B7" s="15" t="inlineStr">
        <is>
          <t>Calidad</t>
        </is>
      </c>
      <c r="C7" s="15" t="inlineStr">
        <is>
          <t>LineaA03</t>
        </is>
      </c>
      <c r="D7" s="15" t="inlineStr">
        <is>
          <t>Scrap</t>
        </is>
      </c>
      <c r="E7" s="15" t="n">
        <v>1</v>
      </c>
      <c r="F7" s="15" t="inlineStr">
        <is>
          <t>MLR</t>
        </is>
      </c>
      <c r="G7" s="17">
        <f>TEXT(A7,"yyyy-mm-dd")&amp;"_"&amp;B7&amp;"_"&amp;C7&amp;"_"&amp;D7&amp;"_v"&amp;TEXT(E7,"00")&amp;"_"&amp;F7&amp;".xlsx"</f>
        <v/>
      </c>
    </row>
    <row r="8">
      <c r="A8" s="14" t="n">
        <v>46163</v>
      </c>
      <c r="B8" s="15" t="inlineStr">
        <is>
          <t>Produccion</t>
        </is>
      </c>
      <c r="C8" s="15" t="inlineStr">
        <is>
          <t>LineaB07</t>
        </is>
      </c>
      <c r="D8" s="15" t="inlineStr">
        <is>
          <t>OEE</t>
        </is>
      </c>
      <c r="E8" s="15" t="n">
        <v>1</v>
      </c>
      <c r="F8" s="15" t="inlineStr">
        <is>
          <t>RNH</t>
        </is>
      </c>
      <c r="G8" s="17">
        <f>TEXT(A8,"yyyy-mm-dd")&amp;"_"&amp;B8&amp;"_"&amp;C8&amp;"_"&amp;D8&amp;"_v"&amp;TEXT(E8,"00")&amp;"_"&amp;F8&amp;".xlsx"</f>
        <v/>
      </c>
    </row>
    <row r="9">
      <c r="A9" s="14" t="n">
        <v>46164</v>
      </c>
      <c r="B9" s="15" t="inlineStr">
        <is>
          <t>Mantenimiento</t>
        </is>
      </c>
      <c r="C9" s="15" t="inlineStr">
        <is>
          <t>LineaA03</t>
        </is>
      </c>
      <c r="D9" s="15" t="inlineStr">
        <is>
          <t>Paro</t>
        </is>
      </c>
      <c r="E9" s="15" t="n">
        <v>3</v>
      </c>
      <c r="F9" s="15" t="inlineStr">
        <is>
          <t>EVT</t>
        </is>
      </c>
      <c r="G9" s="17">
        <f>TEXT(A9,"yyyy-mm-dd")&amp;"_"&amp;B9&amp;"_"&amp;C9&amp;"_"&amp;D9&amp;"_v"&amp;TEXT(E9,"00")&amp;"_"&amp;F9&amp;".xlsx"</f>
        <v/>
      </c>
    </row>
    <row r="10">
      <c r="A10" s="14" t="n">
        <v>46167</v>
      </c>
      <c r="B10" s="15" t="inlineStr">
        <is>
          <t>Logistica</t>
        </is>
      </c>
      <c r="C10" s="15" t="inlineStr">
        <is>
          <t>Almacen2</t>
        </is>
      </c>
      <c r="D10" s="15" t="inlineStr">
        <is>
          <t>Inventario</t>
        </is>
      </c>
      <c r="E10" s="15" t="n">
        <v>1</v>
      </c>
      <c r="F10" s="15" t="inlineStr">
        <is>
          <t>CPM</t>
        </is>
      </c>
      <c r="G10" s="17">
        <f>TEXT(A10,"yyyy-mm-dd")&amp;"_"&amp;B10&amp;"_"&amp;C10&amp;"_"&amp;D10&amp;"_v"&amp;TEXT(E10,"00")&amp;"_"&amp;F10&amp;".xlsx"</f>
        <v/>
      </c>
    </row>
    <row r="11">
      <c r="A11" s="14" t="n">
        <v>46168</v>
      </c>
      <c r="B11" s="15" t="inlineStr">
        <is>
          <t>Ingenieria</t>
        </is>
      </c>
      <c r="C11" s="15" t="inlineStr">
        <is>
          <t>LineaC11</t>
        </is>
      </c>
      <c r="D11" s="15" t="inlineStr">
        <is>
          <t>DOE</t>
        </is>
      </c>
      <c r="E11" s="15" t="n">
        <v>2</v>
      </c>
      <c r="F11" s="15" t="inlineStr">
        <is>
          <t>ASR</t>
        </is>
      </c>
      <c r="G11" s="17">
        <f>TEXT(A11,"yyyy-mm-dd")&amp;"_"&amp;B11&amp;"_"&amp;C11&amp;"_"&amp;D11&amp;"_v"&amp;TEXT(E11,"00")&amp;"_"&amp;F11&amp;".xlsx"</f>
        <v/>
      </c>
    </row>
    <row r="12">
      <c r="A12" s="14" t="n">
        <v>46168</v>
      </c>
      <c r="B12" s="15" t="inlineStr">
        <is>
          <t>Calidad</t>
        </is>
      </c>
      <c r="C12" s="15" t="inlineStr">
        <is>
          <t>LineaB07</t>
        </is>
      </c>
      <c r="D12" s="15" t="inlineStr">
        <is>
          <t>CpCpk</t>
        </is>
      </c>
      <c r="E12" s="15" t="n">
        <v>1</v>
      </c>
      <c r="F12" s="15" t="inlineStr">
        <is>
          <t>JGM</t>
        </is>
      </c>
      <c r="G12" s="17">
        <f>TEXT(A12,"yyyy-mm-dd")&amp;"_"&amp;B12&amp;"_"&amp;C12&amp;"_"&amp;D12&amp;"_v"&amp;TEXT(E12,"00")&amp;"_"&amp;F12&amp;".xlsx"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2231A"/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26" customWidth="1" min="3" max="3"/>
    <col width="26" customWidth="1" min="4" max="4"/>
  </cols>
  <sheetData>
    <row r="1" ht="32" customHeight="1">
      <c r="A1" s="1" t="inlineStr">
        <is>
          <t>Ejercicio 2  Limpieza de datos sucios</t>
        </is>
      </c>
    </row>
    <row r="2" ht="22" customHeight="1">
      <c r="A2" s="2" t="inlineStr">
        <is>
          <t>Normalizar nombres de operadores y codigos de Work Center</t>
        </is>
      </c>
    </row>
    <row r="4" ht="42" customHeight="1">
      <c r="A4" s="8" t="inlineStr">
        <is>
          <t>OBJETIVO: limpiar los nombres de operadores (espacios extra, mayusculas inconsistentes) y normalizar los codigos de Work Center (quitar espacios, mayusculas, sustituir guiones).</t>
        </is>
      </c>
    </row>
    <row r="5" ht="36" customHeight="1">
      <c r="A5" s="9" t="inlineStr">
        <is>
          <t>PISTAS:  B = NOMPROPIO(ESPACIOS(LIMPIAR(A))).   C = MAYUSC(SUSTITUIR(SUSTITUIR(ESPACIOS(A_codigo)," ",""),"-","_"))</t>
        </is>
      </c>
    </row>
    <row r="7" ht="24" customHeight="1">
      <c r="A7" s="10" t="inlineStr">
        <is>
          <t>Nombre crudo</t>
        </is>
      </c>
      <c r="B7" s="10" t="inlineStr">
        <is>
          <t>Nombre limpio (formula aqui)</t>
        </is>
      </c>
      <c r="C7" s="10" t="inlineStr">
        <is>
          <t>W.C. crudo</t>
        </is>
      </c>
      <c r="D7" s="10" t="inlineStr">
        <is>
          <t>W.C. limpio (formula aqui)</t>
        </is>
      </c>
    </row>
    <row r="8">
      <c r="A8" s="12" t="inlineStr">
        <is>
          <t xml:space="preserve">  juan  garcia   </t>
        </is>
      </c>
      <c r="B8" s="18" t="inlineStr"/>
      <c r="C8" s="12" t="inlineStr">
        <is>
          <t xml:space="preserve"> 1112233 </t>
        </is>
      </c>
      <c r="D8" s="18" t="inlineStr"/>
    </row>
    <row r="9">
      <c r="A9" s="12" t="inlineStr">
        <is>
          <t>MARIA   LOPEZ</t>
        </is>
      </c>
      <c r="B9" s="18" t="inlineStr"/>
      <c r="C9" s="12" t="inlineStr">
        <is>
          <t>11-12-244</t>
        </is>
      </c>
      <c r="D9" s="18" t="inlineStr"/>
    </row>
    <row r="10">
      <c r="A10" s="12" t="inlineStr">
        <is>
          <t xml:space="preserve">rOSa  martiNez </t>
        </is>
      </c>
      <c r="B10" s="18" t="inlineStr"/>
      <c r="C10" s="12" t="inlineStr">
        <is>
          <t xml:space="preserve"> wc 1112255 </t>
        </is>
      </c>
      <c r="D10" s="18" t="inlineStr"/>
    </row>
    <row r="11">
      <c r="A11" s="12" t="inlineStr">
        <is>
          <t xml:space="preserve">	 pedro  rios</t>
        </is>
      </c>
      <c r="B11" s="18" t="inlineStr"/>
      <c r="C11" s="12" t="inlineStr">
        <is>
          <t>1112266</t>
        </is>
      </c>
      <c r="D11" s="18" t="inlineStr"/>
    </row>
    <row r="12">
      <c r="A12" s="12" t="inlineStr">
        <is>
          <t xml:space="preserve">ana   sanchez  </t>
        </is>
      </c>
      <c r="B12" s="18" t="inlineStr"/>
      <c r="C12" s="12" t="inlineStr">
        <is>
          <t>11 12-277</t>
        </is>
      </c>
      <c r="D12" s="18" t="inlineStr"/>
    </row>
    <row r="13">
      <c r="A13" s="12" t="inlineStr">
        <is>
          <t>LUIS GOMEZ</t>
        </is>
      </c>
      <c r="B13" s="18" t="inlineStr"/>
      <c r="C13" s="12" t="inlineStr">
        <is>
          <t xml:space="preserve"> 1112-288 </t>
        </is>
      </c>
      <c r="D13" s="18" t="inlineStr"/>
    </row>
    <row r="14">
      <c r="A14" s="12" t="inlineStr">
        <is>
          <t xml:space="preserve">  carmen perez  </t>
        </is>
      </c>
      <c r="B14" s="18" t="inlineStr"/>
      <c r="C14" s="12" t="inlineStr">
        <is>
          <t>11_12_299</t>
        </is>
      </c>
      <c r="D14" s="18" t="inlineStr"/>
    </row>
    <row r="15">
      <c r="A15" s="12" t="inlineStr">
        <is>
          <t>oscar    cruz</t>
        </is>
      </c>
      <c r="B15" s="18" t="inlineStr"/>
      <c r="C15" s="12" t="inlineStr">
        <is>
          <t xml:space="preserve">1112300 </t>
        </is>
      </c>
      <c r="D15" s="18" t="inlineStr"/>
    </row>
  </sheetData>
  <mergeCells count="4">
    <mergeCell ref="A1:C1"/>
    <mergeCell ref="A4:C4"/>
    <mergeCell ref="A2:C2"/>
    <mergeCell ref="A5:C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F7B3F"/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26" customWidth="1" min="3" max="3"/>
    <col width="26" customWidth="1" min="4" max="4"/>
  </cols>
  <sheetData>
    <row r="1" ht="32" customHeight="1">
      <c r="A1" s="1" t="inlineStr">
        <is>
          <t>Solucion  Ejercicio 2</t>
        </is>
      </c>
    </row>
    <row r="2" ht="22" customHeight="1">
      <c r="A2" s="2" t="inlineStr">
        <is>
          <t>Combina LIMPIAR + ESPACIOS + NOMPROPIO/MAYUSC + SUSTITUIR</t>
        </is>
      </c>
    </row>
    <row r="4" ht="24" customHeight="1">
      <c r="A4" s="10" t="inlineStr">
        <is>
          <t>Nombre crudo</t>
        </is>
      </c>
      <c r="B4" s="10" t="inlineStr">
        <is>
          <t>Nombre limpio</t>
        </is>
      </c>
      <c r="C4" s="10" t="inlineStr">
        <is>
          <t>W.C. crudo</t>
        </is>
      </c>
      <c r="D4" s="10" t="inlineStr">
        <is>
          <t>W.C. limpio</t>
        </is>
      </c>
    </row>
    <row r="5">
      <c r="A5" s="15" t="inlineStr">
        <is>
          <t xml:space="preserve">  juan  garcia   </t>
        </is>
      </c>
      <c r="B5" s="17">
        <f>PROPER(TRIM(CLEAN(A5)))</f>
        <v/>
      </c>
      <c r="C5" s="15" t="inlineStr">
        <is>
          <t xml:space="preserve"> 1112233 </t>
        </is>
      </c>
      <c r="D5" s="17">
        <f>UPPER(SUBSTITUTE(SUBSTITUTE(SUBSTITUTE(TRIM(CLEAN(C5))," ",""),"-","_"),"WC",""))</f>
        <v/>
      </c>
    </row>
    <row r="6">
      <c r="A6" s="15" t="inlineStr">
        <is>
          <t>MARIA   LOPEZ</t>
        </is>
      </c>
      <c r="B6" s="17">
        <f>PROPER(TRIM(CLEAN(A6)))</f>
        <v/>
      </c>
      <c r="C6" s="15" t="inlineStr">
        <is>
          <t>11-12-244</t>
        </is>
      </c>
      <c r="D6" s="17">
        <f>UPPER(SUBSTITUTE(SUBSTITUTE(SUBSTITUTE(TRIM(CLEAN(C6))," ",""),"-","_"),"WC",""))</f>
        <v/>
      </c>
    </row>
    <row r="7">
      <c r="A7" s="15" t="inlineStr">
        <is>
          <t xml:space="preserve">rOSa  martiNez </t>
        </is>
      </c>
      <c r="B7" s="17">
        <f>PROPER(TRIM(CLEAN(A7)))</f>
        <v/>
      </c>
      <c r="C7" s="15" t="inlineStr">
        <is>
          <t xml:space="preserve"> wc 1112255 </t>
        </is>
      </c>
      <c r="D7" s="17">
        <f>UPPER(SUBSTITUTE(SUBSTITUTE(SUBSTITUTE(TRIM(CLEAN(C7))," ",""),"-","_"),"WC",""))</f>
        <v/>
      </c>
    </row>
    <row r="8">
      <c r="A8" s="15" t="inlineStr">
        <is>
          <t xml:space="preserve">	 pedro  rios</t>
        </is>
      </c>
      <c r="B8" s="17">
        <f>PROPER(TRIM(CLEAN(A8)))</f>
        <v/>
      </c>
      <c r="C8" s="15" t="inlineStr">
        <is>
          <t>1112266</t>
        </is>
      </c>
      <c r="D8" s="17">
        <f>UPPER(SUBSTITUTE(SUBSTITUTE(SUBSTITUTE(TRIM(CLEAN(C8))," ",""),"-","_"),"WC",""))</f>
        <v/>
      </c>
    </row>
    <row r="9">
      <c r="A9" s="15" t="inlineStr">
        <is>
          <t xml:space="preserve">ana   sanchez  </t>
        </is>
      </c>
      <c r="B9" s="17">
        <f>PROPER(TRIM(CLEAN(A9)))</f>
        <v/>
      </c>
      <c r="C9" s="15" t="inlineStr">
        <is>
          <t>11 12-277</t>
        </is>
      </c>
      <c r="D9" s="17">
        <f>UPPER(SUBSTITUTE(SUBSTITUTE(SUBSTITUTE(TRIM(CLEAN(C9))," ",""),"-","_"),"WC",""))</f>
        <v/>
      </c>
    </row>
    <row r="10">
      <c r="A10" s="15" t="inlineStr">
        <is>
          <t>LUIS GOMEZ</t>
        </is>
      </c>
      <c r="B10" s="17">
        <f>PROPER(TRIM(CLEAN(A10)))</f>
        <v/>
      </c>
      <c r="C10" s="15" t="inlineStr">
        <is>
          <t xml:space="preserve"> 1112-288 </t>
        </is>
      </c>
      <c r="D10" s="17">
        <f>UPPER(SUBSTITUTE(SUBSTITUTE(SUBSTITUTE(TRIM(CLEAN(C10))," ",""),"-","_"),"WC",""))</f>
        <v/>
      </c>
    </row>
    <row r="11">
      <c r="A11" s="15" t="inlineStr">
        <is>
          <t xml:space="preserve">  carmen perez  </t>
        </is>
      </c>
      <c r="B11" s="17">
        <f>PROPER(TRIM(CLEAN(A11)))</f>
        <v/>
      </c>
      <c r="C11" s="15" t="inlineStr">
        <is>
          <t>11_12_299</t>
        </is>
      </c>
      <c r="D11" s="17">
        <f>UPPER(SUBSTITUTE(SUBSTITUTE(SUBSTITUTE(TRIM(CLEAN(C11))," ",""),"-","_"),"WC",""))</f>
        <v/>
      </c>
    </row>
    <row r="12">
      <c r="A12" s="15" t="inlineStr">
        <is>
          <t>oscar    cruz</t>
        </is>
      </c>
      <c r="B12" s="17">
        <f>PROPER(TRIM(CLEAN(A12)))</f>
        <v/>
      </c>
      <c r="C12" s="15" t="inlineStr">
        <is>
          <t xml:space="preserve">1112300 </t>
        </is>
      </c>
      <c r="D12" s="17">
        <f>UPPER(SUBSTITUTE(SUBSTITUTE(SUBSTITUTE(TRIM(CLEAN(C12))," ",""),"-","_"),"WC",""))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2231A"/>
    <outlinePr summaryBelow="1" summaryRight="1"/>
    <pageSetUpPr/>
  </sheetPr>
  <dimension ref="A1:K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4" customWidth="1" min="9" max="9"/>
    <col width="18" customWidth="1" min="10" max="10"/>
    <col width="18" customWidth="1" min="11" max="11"/>
  </cols>
  <sheetData>
    <row r="1" ht="32" customHeight="1">
      <c r="A1" s="1" t="inlineStr">
        <is>
          <t>Ejercicio 3  Validacion de datos y listas desplegables</t>
        </is>
      </c>
    </row>
    <row r="2" ht="22" customHeight="1">
      <c r="A2" s="2" t="inlineStr">
        <is>
          <t>Configura dropdowns y reglas numericas para evitar capturas erroneas</t>
        </is>
      </c>
    </row>
    <row r="4" ht="36" customHeight="1">
      <c r="A4" s="8" t="inlineStr">
        <is>
          <t>OBJETIVO: agrega validacion a la tabla de capturas para que solo se puedan elegir valores validos. Sin validacion la gente captura cualquier cosa.</t>
        </is>
      </c>
    </row>
    <row r="5" ht="60" customHeight="1">
      <c r="A5" s="9" t="inlineStr">
        <is>
          <t>PASO 1: selecciona B8:B20 y ve a Datos &gt; Validacion de datos &gt; Lista &gt; usa el rango J8:J11 (catalogo Plantas).   PASO 2: en C8:C20 lista con K8:K11 (Areas).   PASO 3: en E8:E20 numero entero entre 0 y 30 (torque Nm).   PASO 4: en F8:F20 fecha entre 2026-01-01 y HOY().</t>
        </is>
      </c>
    </row>
    <row r="7" ht="24" customHeight="1">
      <c r="A7" s="10" t="inlineStr">
        <is>
          <t>Operador</t>
        </is>
      </c>
      <c r="B7" s="10" t="inlineStr">
        <is>
          <t>Planta</t>
        </is>
      </c>
      <c r="C7" s="10" t="inlineStr">
        <is>
          <t>Area</t>
        </is>
      </c>
      <c r="D7" s="10" t="inlineStr">
        <is>
          <t>Linea</t>
        </is>
      </c>
      <c r="E7" s="10" t="inlineStr">
        <is>
          <t>Torque (Nm)</t>
        </is>
      </c>
      <c r="F7" s="10" t="inlineStr">
        <is>
          <t>Fecha</t>
        </is>
      </c>
      <c r="G7" s="10" t="inlineStr">
        <is>
          <t>OK?</t>
        </is>
      </c>
      <c r="J7" s="19" t="inlineStr">
        <is>
          <t>Catalogo Plantas</t>
        </is>
      </c>
      <c r="K7" s="19" t="inlineStr">
        <is>
          <t>Catalogo Areas</t>
        </is>
      </c>
    </row>
    <row r="8">
      <c r="A8" s="18" t="inlineStr">
        <is>
          <t>J. Garcia</t>
        </is>
      </c>
      <c r="B8" s="18" t="inlineStr"/>
      <c r="C8" s="18" t="inlineStr"/>
      <c r="D8" s="18" t="inlineStr">
        <is>
          <t>A03</t>
        </is>
      </c>
      <c r="E8" s="18" t="inlineStr"/>
      <c r="F8" s="18" t="inlineStr"/>
      <c r="G8" s="20">
        <f>IF(COUNTBLANK(B8:F8)=0,"OK","faltan datos")</f>
        <v/>
      </c>
      <c r="J8" s="21" t="inlineStr">
        <is>
          <t>Aguascalientes</t>
        </is>
      </c>
      <c r="K8" s="21" t="inlineStr">
        <is>
          <t>Calidad</t>
        </is>
      </c>
    </row>
    <row r="9">
      <c r="A9" s="18" t="inlineStr">
        <is>
          <t>M. Lopez</t>
        </is>
      </c>
      <c r="B9" s="18" t="inlineStr"/>
      <c r="C9" s="18" t="inlineStr"/>
      <c r="D9" s="18" t="inlineStr">
        <is>
          <t>B07</t>
        </is>
      </c>
      <c r="E9" s="18" t="inlineStr"/>
      <c r="F9" s="18" t="inlineStr"/>
      <c r="G9" s="20">
        <f>IF(COUNTBLANK(B9:F9)=0,"OK","faltan datos")</f>
        <v/>
      </c>
      <c r="J9" s="21" t="inlineStr">
        <is>
          <t>Silao</t>
        </is>
      </c>
      <c r="K9" s="21" t="inlineStr">
        <is>
          <t>Produccion</t>
        </is>
      </c>
    </row>
    <row r="10">
      <c r="A10" s="18" t="inlineStr">
        <is>
          <t>R. Martinez</t>
        </is>
      </c>
      <c r="B10" s="18" t="inlineStr"/>
      <c r="C10" s="18" t="inlineStr"/>
      <c r="D10" s="18" t="inlineStr">
        <is>
          <t>A03</t>
        </is>
      </c>
      <c r="E10" s="18" t="inlineStr"/>
      <c r="F10" s="18" t="inlineStr"/>
      <c r="G10" s="20">
        <f>IF(COUNTBLANK(B10:F10)=0,"OK","faltan datos")</f>
        <v/>
      </c>
      <c r="J10" s="21" t="inlineStr">
        <is>
          <t>Reynosa</t>
        </is>
      </c>
      <c r="K10" s="21" t="inlineStr">
        <is>
          <t>Mantenimiento</t>
        </is>
      </c>
    </row>
    <row r="11">
      <c r="A11" s="18" t="inlineStr">
        <is>
          <t>P. Rios</t>
        </is>
      </c>
      <c r="B11" s="18" t="inlineStr"/>
      <c r="C11" s="18" t="inlineStr"/>
      <c r="D11" s="18" t="inlineStr">
        <is>
          <t>C11</t>
        </is>
      </c>
      <c r="E11" s="18" t="inlineStr"/>
      <c r="F11" s="18" t="inlineStr"/>
      <c r="G11" s="20">
        <f>IF(COUNTBLANK(B11:F11)=0,"OK","faltan datos")</f>
        <v/>
      </c>
      <c r="J11" s="21" t="inlineStr">
        <is>
          <t>Saltillo</t>
        </is>
      </c>
      <c r="K11" s="21" t="inlineStr">
        <is>
          <t>Logistica</t>
        </is>
      </c>
    </row>
    <row r="12">
      <c r="A12" s="18" t="inlineStr">
        <is>
          <t>A. Sanchez</t>
        </is>
      </c>
      <c r="B12" s="18" t="inlineStr"/>
      <c r="C12" s="18" t="inlineStr"/>
      <c r="D12" s="18" t="inlineStr">
        <is>
          <t>B07</t>
        </is>
      </c>
      <c r="E12" s="18" t="inlineStr"/>
      <c r="F12" s="18" t="inlineStr"/>
      <c r="G12" s="20">
        <f>IF(COUNTBLANK(B12:F12)=0,"OK","faltan datos")</f>
        <v/>
      </c>
    </row>
  </sheetData>
  <mergeCells count="4">
    <mergeCell ref="A2:G2"/>
    <mergeCell ref="A1:G1"/>
    <mergeCell ref="A5:G5"/>
    <mergeCell ref="A4:G4"/>
  </mergeCells>
  <dataValidations count="4">
    <dataValidation sqref="B8:B20" showDropDown="0" showInputMessage="0" showErrorMessage="0" allowBlank="1" errorTitle="Valor invalido" error="Elige una planta del catalogo" type="list">
      <formula1>=$J$8:$J$11</formula1>
    </dataValidation>
    <dataValidation sqref="C8:C20" showDropDown="0" showInputMessage="0" showErrorMessage="0" allowBlank="1" type="list">
      <formula1>=$K$8:$K$11</formula1>
    </dataValidation>
    <dataValidation sqref="E8:E20" showDropDown="0" showInputMessage="0" showErrorMessage="0" allowBlank="1" errorTitle="Valor invalido" error="Torque entre 0 y 30 Nm" type="whole" operator="between">
      <formula1>0</formula1>
      <formula2>30</formula2>
    </dataValidation>
    <dataValidation sqref="F8:F20" showDropDown="0" showInputMessage="0" showErrorMessage="0" allowBlank="1" errorTitle="Fecha invalida" error="Fecha entre 2026-01-01 y hoy" type="date" operator="between">
      <formula1>DATE(2026,1,1)</formula1>
      <formula2>TODAY()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95959"/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6" customWidth="1" min="4" max="4"/>
  </cols>
  <sheetData>
    <row r="1" ht="32" customHeight="1">
      <c r="A1" s="1" t="inlineStr">
        <is>
          <t>Ejercicio 4  Catalogo de Work Centers (referencia)</t>
        </is>
      </c>
    </row>
    <row r="2" ht="22" customHeight="1">
      <c r="A2" s="2" t="inlineStr">
        <is>
          <t>Este es el catalogo maestro. NO se edita  se usa con BUSCARX.</t>
        </is>
      </c>
    </row>
    <row r="4" ht="24" customHeight="1">
      <c r="A4" s="10" t="inlineStr">
        <is>
          <t>W.C.</t>
        </is>
      </c>
      <c r="B4" s="10" t="inlineStr">
        <is>
          <t>Linea</t>
        </is>
      </c>
      <c r="C4" s="10" t="inlineStr">
        <is>
          <t>Planta</t>
        </is>
      </c>
      <c r="D4" s="10" t="inlineStr">
        <is>
          <t>Tipo</t>
        </is>
      </c>
    </row>
    <row r="5">
      <c r="A5" s="15" t="inlineStr">
        <is>
          <t>1112233</t>
        </is>
      </c>
      <c r="B5" s="15" t="inlineStr">
        <is>
          <t>LineaA03</t>
        </is>
      </c>
      <c r="C5" s="15" t="inlineStr">
        <is>
          <t>Aguascalientes</t>
        </is>
      </c>
      <c r="D5" s="15" t="inlineStr">
        <is>
          <t>Ensamble</t>
        </is>
      </c>
    </row>
    <row r="6">
      <c r="A6" s="15" t="inlineStr">
        <is>
          <t>1112244</t>
        </is>
      </c>
      <c r="B6" s="15" t="inlineStr">
        <is>
          <t>LineaA03</t>
        </is>
      </c>
      <c r="C6" s="15" t="inlineStr">
        <is>
          <t>Aguascalientes</t>
        </is>
      </c>
      <c r="D6" s="15" t="inlineStr">
        <is>
          <t>Test</t>
        </is>
      </c>
    </row>
    <row r="7">
      <c r="A7" s="15" t="inlineStr">
        <is>
          <t>1112255</t>
        </is>
      </c>
      <c r="B7" s="15" t="inlineStr">
        <is>
          <t>LineaB07</t>
        </is>
      </c>
      <c r="C7" s="15" t="inlineStr">
        <is>
          <t>Aguascalientes</t>
        </is>
      </c>
      <c r="D7" s="15" t="inlineStr">
        <is>
          <t>Ensamble</t>
        </is>
      </c>
    </row>
    <row r="8">
      <c r="A8" s="15" t="inlineStr">
        <is>
          <t>1112266</t>
        </is>
      </c>
      <c r="B8" s="15" t="inlineStr">
        <is>
          <t>LineaB07</t>
        </is>
      </c>
      <c r="C8" s="15" t="inlineStr">
        <is>
          <t>Aguascalientes</t>
        </is>
      </c>
      <c r="D8" s="15" t="inlineStr">
        <is>
          <t>Soldadura</t>
        </is>
      </c>
    </row>
    <row r="9">
      <c r="A9" s="15" t="inlineStr">
        <is>
          <t>1112277</t>
        </is>
      </c>
      <c r="B9" s="15" t="inlineStr">
        <is>
          <t>LineaC11</t>
        </is>
      </c>
      <c r="C9" s="15" t="inlineStr">
        <is>
          <t>Silao</t>
        </is>
      </c>
      <c r="D9" s="15" t="inlineStr">
        <is>
          <t>Ensamble</t>
        </is>
      </c>
    </row>
    <row r="10">
      <c r="A10" s="15" t="inlineStr">
        <is>
          <t>1112288</t>
        </is>
      </c>
      <c r="B10" s="15" t="inlineStr">
        <is>
          <t>LineaC11</t>
        </is>
      </c>
      <c r="C10" s="15" t="inlineStr">
        <is>
          <t>Silao</t>
        </is>
      </c>
      <c r="D10" s="15" t="inlineStr">
        <is>
          <t>Pintura</t>
        </is>
      </c>
    </row>
    <row r="11">
      <c r="A11" s="15" t="inlineStr">
        <is>
          <t>1112299</t>
        </is>
      </c>
      <c r="B11" s="15" t="inlineStr">
        <is>
          <t>LineaD22</t>
        </is>
      </c>
      <c r="C11" s="15" t="inlineStr">
        <is>
          <t>Reynosa</t>
        </is>
      </c>
      <c r="D11" s="15" t="inlineStr">
        <is>
          <t>Ensamble</t>
        </is>
      </c>
    </row>
    <row r="12">
      <c r="A12" s="15" t="inlineStr">
        <is>
          <t>1112300</t>
        </is>
      </c>
      <c r="B12" s="15" t="inlineStr">
        <is>
          <t>LineaD22</t>
        </is>
      </c>
      <c r="C12" s="15" t="inlineStr">
        <is>
          <t>Reynosa</t>
        </is>
      </c>
      <c r="D12" s="15" t="inlineStr">
        <is>
          <t>Test</t>
        </is>
      </c>
    </row>
    <row r="13">
      <c r="A13" s="15" t="inlineStr">
        <is>
          <t>1112311</t>
        </is>
      </c>
      <c r="B13" s="15" t="inlineStr">
        <is>
          <t>LineaE05</t>
        </is>
      </c>
      <c r="C13" s="15" t="inlineStr">
        <is>
          <t>Saltillo</t>
        </is>
      </c>
      <c r="D13" s="15" t="inlineStr">
        <is>
          <t>Ensamble</t>
        </is>
      </c>
    </row>
    <row r="14">
      <c r="A14" s="15" t="inlineStr">
        <is>
          <t>1112322</t>
        </is>
      </c>
      <c r="B14" s="15" t="inlineStr">
        <is>
          <t>LineaE05</t>
        </is>
      </c>
      <c r="C14" s="15" t="inlineStr">
        <is>
          <t>Saltillo</t>
        </is>
      </c>
      <c r="D14" s="15" t="inlineStr">
        <is>
          <t>Empaque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2231A"/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2" customWidth="1" min="4" max="4"/>
    <col width="16" customWidth="1" min="5" max="5"/>
    <col width="14" customWidth="1" min="6" max="6"/>
    <col width="50" customWidth="1" min="7" max="7"/>
  </cols>
  <sheetData>
    <row r="1" ht="32" customHeight="1">
      <c r="A1" s="1" t="inlineStr">
        <is>
          <t>Ejercicio 4  Mediciones por Work Center  cruzar con catalogo</t>
        </is>
      </c>
    </row>
    <row r="2" ht="22" customHeight="1">
      <c r="A2" s="2" t="inlineStr">
        <is>
          <t>Llena Linea, Planta y Tipo a partir del W.C. usando BUSCARX</t>
        </is>
      </c>
    </row>
    <row r="4" ht="22" customHeight="1">
      <c r="A4" s="8" t="inlineStr">
        <is>
          <t>OBJETIVO: para cada medicion, traer Linea, Planta y Tipo desde la hoja Ej4_Catalogo_WC.</t>
        </is>
      </c>
    </row>
    <row r="5" ht="44" customHeight="1">
      <c r="A5" s="9" t="inlineStr">
        <is>
          <t>PISTA:  =BUSCARX(A8, Ej4_Catalogo_WC!$A$5:$A$14, Ej4_Catalogo_WC!$B$5:$B$14, "No encontrado")    Cambia el rango devuelto para cada columna. SI usas Excel 2019 o anterior:  BUSCARV(A8, Ej4_Catalogo_WC!$A$5:$D$14, 2, FALSO)</t>
        </is>
      </c>
    </row>
    <row r="7" ht="24" customHeight="1">
      <c r="A7" s="10" t="inlineStr">
        <is>
          <t>W.C.</t>
        </is>
      </c>
      <c r="B7" s="10" t="inlineStr">
        <is>
          <t>Fecha</t>
        </is>
      </c>
      <c r="C7" s="10" t="inlineStr">
        <is>
          <t>Linea (formula)</t>
        </is>
      </c>
      <c r="D7" s="10" t="inlineStr">
        <is>
          <t>Planta (formula)</t>
        </is>
      </c>
      <c r="E7" s="10" t="inlineStr">
        <is>
          <t>Tipo (formula)</t>
        </is>
      </c>
      <c r="F7" s="10" t="inlineStr">
        <is>
          <t>Valor</t>
        </is>
      </c>
      <c r="G7" s="10" t="inlineStr">
        <is>
          <t>Nota</t>
        </is>
      </c>
    </row>
    <row r="8">
      <c r="A8" s="22" t="inlineStr">
        <is>
          <t>1112233</t>
        </is>
      </c>
      <c r="B8" s="23" t="n">
        <v>46162</v>
      </c>
      <c r="C8" s="24" t="n"/>
      <c r="D8" s="24" t="n"/>
      <c r="E8" s="24" t="n"/>
      <c r="F8" s="21" t="n">
        <v>8.5</v>
      </c>
      <c r="G8" s="21" t="inlineStr"/>
    </row>
    <row r="9">
      <c r="A9" s="22" t="inlineStr">
        <is>
          <t>1112277</t>
        </is>
      </c>
      <c r="B9" s="23" t="n">
        <v>46162</v>
      </c>
      <c r="C9" s="24" t="n"/>
      <c r="D9" s="24" t="n"/>
      <c r="E9" s="24" t="n"/>
      <c r="F9" s="21" t="n">
        <v>9.1</v>
      </c>
      <c r="G9" s="21" t="inlineStr"/>
    </row>
    <row r="10">
      <c r="A10" s="22" t="inlineStr">
        <is>
          <t>1112266</t>
        </is>
      </c>
      <c r="B10" s="23" t="n">
        <v>46162</v>
      </c>
      <c r="C10" s="24" t="n"/>
      <c r="D10" s="24" t="n"/>
      <c r="E10" s="24" t="n"/>
      <c r="F10" s="21" t="n">
        <v>7.4</v>
      </c>
      <c r="G10" s="21" t="inlineStr"/>
    </row>
    <row r="11">
      <c r="A11" s="22" t="inlineStr">
        <is>
          <t>1112322</t>
        </is>
      </c>
      <c r="B11" s="23" t="n">
        <v>46163</v>
      </c>
      <c r="C11" s="24" t="n"/>
      <c r="D11" s="24" t="n"/>
      <c r="E11" s="24" t="n"/>
      <c r="F11" s="21" t="n">
        <v>8.9</v>
      </c>
      <c r="G11" s="21" t="inlineStr"/>
    </row>
    <row r="12">
      <c r="A12" s="22" t="inlineStr">
        <is>
          <t>1112255</t>
        </is>
      </c>
      <c r="B12" s="23" t="n">
        <v>46163</v>
      </c>
      <c r="C12" s="24" t="n"/>
      <c r="D12" s="24" t="n"/>
      <c r="E12" s="24" t="n"/>
      <c r="F12" s="21" t="n">
        <v>6.2</v>
      </c>
      <c r="G12" s="21" t="inlineStr">
        <is>
          <t>valor bajo</t>
        </is>
      </c>
    </row>
    <row r="13">
      <c r="A13" s="22" t="inlineStr">
        <is>
          <t>1112299</t>
        </is>
      </c>
      <c r="B13" s="23" t="n">
        <v>46163</v>
      </c>
      <c r="C13" s="24" t="n"/>
      <c r="D13" s="24" t="n"/>
      <c r="E13" s="24" t="n"/>
      <c r="F13" s="21" t="n">
        <v>9.4</v>
      </c>
      <c r="G13" s="21" t="inlineStr"/>
    </row>
    <row r="14">
      <c r="A14" s="22" t="inlineStr">
        <is>
          <t>1112311</t>
        </is>
      </c>
      <c r="B14" s="23" t="n">
        <v>46164</v>
      </c>
      <c r="C14" s="24" t="n"/>
      <c r="D14" s="24" t="n"/>
      <c r="E14" s="24" t="n"/>
      <c r="F14" s="21" t="n">
        <v>8.300000000000001</v>
      </c>
      <c r="G14" s="21" t="inlineStr"/>
    </row>
    <row r="15">
      <c r="A15" s="22" t="inlineStr">
        <is>
          <t>1112244</t>
        </is>
      </c>
      <c r="B15" s="23" t="n">
        <v>46164</v>
      </c>
      <c r="C15" s="24" t="n"/>
      <c r="D15" s="24" t="n"/>
      <c r="E15" s="24" t="n"/>
      <c r="F15" s="21" t="n">
        <v>8.800000000000001</v>
      </c>
      <c r="G15" s="21" t="inlineStr"/>
    </row>
    <row r="16">
      <c r="A16" s="22" t="inlineStr">
        <is>
          <t>9999999</t>
        </is>
      </c>
      <c r="B16" s="23" t="n">
        <v>46164</v>
      </c>
      <c r="C16" s="24" t="n"/>
      <c r="D16" s="24" t="n"/>
      <c r="E16" s="24" t="n"/>
      <c r="F16" s="21" t="n">
        <v>7.1</v>
      </c>
      <c r="G16" s="21" t="inlineStr">
        <is>
          <t>WC inexistente  debe dar 'No encontrado'</t>
        </is>
      </c>
    </row>
    <row r="17">
      <c r="A17" s="22" t="inlineStr">
        <is>
          <t>1112288</t>
        </is>
      </c>
      <c r="B17" s="23" t="n">
        <v>46165</v>
      </c>
      <c r="C17" s="24" t="n"/>
      <c r="D17" s="24" t="n"/>
      <c r="E17" s="24" t="n"/>
      <c r="F17" s="21" t="n">
        <v>8.6</v>
      </c>
      <c r="G17" s="21" t="inlineStr"/>
    </row>
  </sheetData>
  <mergeCells count="4">
    <mergeCell ref="A2:G2"/>
    <mergeCell ref="A1:G1"/>
    <mergeCell ref="A5:G5"/>
    <mergeCell ref="A4:G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F7B3F"/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2" customWidth="1" min="4" max="4"/>
    <col width="16" customWidth="1" min="5" max="5"/>
    <col width="14" customWidth="1" min="6" max="6"/>
  </cols>
  <sheetData>
    <row r="1" ht="32" customHeight="1">
      <c r="A1" s="1" t="inlineStr">
        <is>
          <t>Solucion  Ejercicio 4</t>
        </is>
      </c>
    </row>
    <row r="2" ht="22" customHeight="1">
      <c r="A2" s="2" t="inlineStr">
        <is>
          <t>Con BUSCARX (Microsoft 365). Tambien funciona con BUSCARV.</t>
        </is>
      </c>
    </row>
    <row r="4" ht="24" customHeight="1">
      <c r="A4" s="10" t="inlineStr">
        <is>
          <t>W.C.</t>
        </is>
      </c>
      <c r="B4" s="10" t="inlineStr">
        <is>
          <t>Fecha</t>
        </is>
      </c>
      <c r="C4" s="10" t="inlineStr">
        <is>
          <t>Linea</t>
        </is>
      </c>
      <c r="D4" s="10" t="inlineStr">
        <is>
          <t>Planta</t>
        </is>
      </c>
      <c r="E4" s="10" t="inlineStr">
        <is>
          <t>Tipo</t>
        </is>
      </c>
      <c r="F4" s="10" t="inlineStr">
        <is>
          <t>Valor</t>
        </is>
      </c>
    </row>
    <row r="5">
      <c r="A5" s="21" t="inlineStr">
        <is>
          <t>1112233</t>
        </is>
      </c>
      <c r="B5" s="23" t="n">
        <v>46162</v>
      </c>
      <c r="C5" s="25">
        <f>XLOOKUP(A5,Ej4_Catalogo_WC!$A$5:$A$14,Ej4_Catalogo_WC!$B$5:$B$14,"No encontrado")</f>
        <v/>
      </c>
      <c r="D5" s="25">
        <f>XLOOKUP(A5,Ej4_Catalogo_WC!$A$5:$A$14,Ej4_Catalogo_WC!$C$5:$C$14,"No encontrado")</f>
        <v/>
      </c>
      <c r="E5" s="25">
        <f>XLOOKUP(A5,Ej4_Catalogo_WC!$A$5:$A$14,Ej4_Catalogo_WC!$D$5:$D$14,"No encontrado")</f>
        <v/>
      </c>
      <c r="F5" s="21" t="n">
        <v>8.5</v>
      </c>
    </row>
    <row r="6">
      <c r="A6" s="21" t="inlineStr">
        <is>
          <t>1112277</t>
        </is>
      </c>
      <c r="B6" s="23" t="n">
        <v>46162</v>
      </c>
      <c r="C6" s="25">
        <f>XLOOKUP(A6,Ej4_Catalogo_WC!$A$5:$A$14,Ej4_Catalogo_WC!$B$5:$B$14,"No encontrado")</f>
        <v/>
      </c>
      <c r="D6" s="25">
        <f>XLOOKUP(A6,Ej4_Catalogo_WC!$A$5:$A$14,Ej4_Catalogo_WC!$C$5:$C$14,"No encontrado")</f>
        <v/>
      </c>
      <c r="E6" s="25">
        <f>XLOOKUP(A6,Ej4_Catalogo_WC!$A$5:$A$14,Ej4_Catalogo_WC!$D$5:$D$14,"No encontrado")</f>
        <v/>
      </c>
      <c r="F6" s="21" t="n">
        <v>9.1</v>
      </c>
    </row>
    <row r="7">
      <c r="A7" s="21" t="inlineStr">
        <is>
          <t>1112266</t>
        </is>
      </c>
      <c r="B7" s="23" t="n">
        <v>46162</v>
      </c>
      <c r="C7" s="25">
        <f>XLOOKUP(A7,Ej4_Catalogo_WC!$A$5:$A$14,Ej4_Catalogo_WC!$B$5:$B$14,"No encontrado")</f>
        <v/>
      </c>
      <c r="D7" s="25">
        <f>XLOOKUP(A7,Ej4_Catalogo_WC!$A$5:$A$14,Ej4_Catalogo_WC!$C$5:$C$14,"No encontrado")</f>
        <v/>
      </c>
      <c r="E7" s="25">
        <f>XLOOKUP(A7,Ej4_Catalogo_WC!$A$5:$A$14,Ej4_Catalogo_WC!$D$5:$D$14,"No encontrado")</f>
        <v/>
      </c>
      <c r="F7" s="21" t="n">
        <v>7.4</v>
      </c>
    </row>
    <row r="8">
      <c r="A8" s="21" t="inlineStr">
        <is>
          <t>1112322</t>
        </is>
      </c>
      <c r="B8" s="23" t="n">
        <v>46163</v>
      </c>
      <c r="C8" s="25">
        <f>XLOOKUP(A8,Ej4_Catalogo_WC!$A$5:$A$14,Ej4_Catalogo_WC!$B$5:$B$14,"No encontrado")</f>
        <v/>
      </c>
      <c r="D8" s="25">
        <f>XLOOKUP(A8,Ej4_Catalogo_WC!$A$5:$A$14,Ej4_Catalogo_WC!$C$5:$C$14,"No encontrado")</f>
        <v/>
      </c>
      <c r="E8" s="25">
        <f>XLOOKUP(A8,Ej4_Catalogo_WC!$A$5:$A$14,Ej4_Catalogo_WC!$D$5:$D$14,"No encontrado")</f>
        <v/>
      </c>
      <c r="F8" s="21" t="n">
        <v>8.9</v>
      </c>
    </row>
    <row r="9">
      <c r="A9" s="21" t="inlineStr">
        <is>
          <t>1112255</t>
        </is>
      </c>
      <c r="B9" s="23" t="n">
        <v>46163</v>
      </c>
      <c r="C9" s="25">
        <f>XLOOKUP(A9,Ej4_Catalogo_WC!$A$5:$A$14,Ej4_Catalogo_WC!$B$5:$B$14,"No encontrado")</f>
        <v/>
      </c>
      <c r="D9" s="25">
        <f>XLOOKUP(A9,Ej4_Catalogo_WC!$A$5:$A$14,Ej4_Catalogo_WC!$C$5:$C$14,"No encontrado")</f>
        <v/>
      </c>
      <c r="E9" s="25">
        <f>XLOOKUP(A9,Ej4_Catalogo_WC!$A$5:$A$14,Ej4_Catalogo_WC!$D$5:$D$14,"No encontrado")</f>
        <v/>
      </c>
      <c r="F9" s="21" t="n">
        <v>6.2</v>
      </c>
    </row>
    <row r="10">
      <c r="A10" s="21" t="inlineStr">
        <is>
          <t>1112299</t>
        </is>
      </c>
      <c r="B10" s="23" t="n">
        <v>46163</v>
      </c>
      <c r="C10" s="25">
        <f>XLOOKUP(A10,Ej4_Catalogo_WC!$A$5:$A$14,Ej4_Catalogo_WC!$B$5:$B$14,"No encontrado")</f>
        <v/>
      </c>
      <c r="D10" s="25">
        <f>XLOOKUP(A10,Ej4_Catalogo_WC!$A$5:$A$14,Ej4_Catalogo_WC!$C$5:$C$14,"No encontrado")</f>
        <v/>
      </c>
      <c r="E10" s="25">
        <f>XLOOKUP(A10,Ej4_Catalogo_WC!$A$5:$A$14,Ej4_Catalogo_WC!$D$5:$D$14,"No encontrado")</f>
        <v/>
      </c>
      <c r="F10" s="21" t="n">
        <v>9.4</v>
      </c>
    </row>
    <row r="11">
      <c r="A11" s="21" t="inlineStr">
        <is>
          <t>1112311</t>
        </is>
      </c>
      <c r="B11" s="23" t="n">
        <v>46164</v>
      </c>
      <c r="C11" s="25">
        <f>XLOOKUP(A11,Ej4_Catalogo_WC!$A$5:$A$14,Ej4_Catalogo_WC!$B$5:$B$14,"No encontrado")</f>
        <v/>
      </c>
      <c r="D11" s="25">
        <f>XLOOKUP(A11,Ej4_Catalogo_WC!$A$5:$A$14,Ej4_Catalogo_WC!$C$5:$C$14,"No encontrado")</f>
        <v/>
      </c>
      <c r="E11" s="25">
        <f>XLOOKUP(A11,Ej4_Catalogo_WC!$A$5:$A$14,Ej4_Catalogo_WC!$D$5:$D$14,"No encontrado")</f>
        <v/>
      </c>
      <c r="F11" s="21" t="n">
        <v>8.300000000000001</v>
      </c>
    </row>
    <row r="12">
      <c r="A12" s="21" t="inlineStr">
        <is>
          <t>1112244</t>
        </is>
      </c>
      <c r="B12" s="23" t="n">
        <v>46164</v>
      </c>
      <c r="C12" s="25">
        <f>XLOOKUP(A12,Ej4_Catalogo_WC!$A$5:$A$14,Ej4_Catalogo_WC!$B$5:$B$14,"No encontrado")</f>
        <v/>
      </c>
      <c r="D12" s="25">
        <f>XLOOKUP(A12,Ej4_Catalogo_WC!$A$5:$A$14,Ej4_Catalogo_WC!$C$5:$C$14,"No encontrado")</f>
        <v/>
      </c>
      <c r="E12" s="25">
        <f>XLOOKUP(A12,Ej4_Catalogo_WC!$A$5:$A$14,Ej4_Catalogo_WC!$D$5:$D$14,"No encontrado")</f>
        <v/>
      </c>
      <c r="F12" s="21" t="n">
        <v>8.800000000000001</v>
      </c>
    </row>
    <row r="13">
      <c r="A13" s="21" t="inlineStr">
        <is>
          <t>9999999</t>
        </is>
      </c>
      <c r="B13" s="23" t="n">
        <v>46164</v>
      </c>
      <c r="C13" s="25">
        <f>XLOOKUP(A13,Ej4_Catalogo_WC!$A$5:$A$14,Ej4_Catalogo_WC!$B$5:$B$14,"No encontrado")</f>
        <v/>
      </c>
      <c r="D13" s="25">
        <f>XLOOKUP(A13,Ej4_Catalogo_WC!$A$5:$A$14,Ej4_Catalogo_WC!$C$5:$C$14,"No encontrado")</f>
        <v/>
      </c>
      <c r="E13" s="25">
        <f>XLOOKUP(A13,Ej4_Catalogo_WC!$A$5:$A$14,Ej4_Catalogo_WC!$D$5:$D$14,"No encontrado")</f>
        <v/>
      </c>
      <c r="F13" s="21" t="n">
        <v>7.1</v>
      </c>
    </row>
    <row r="14">
      <c r="A14" s="21" t="inlineStr">
        <is>
          <t>1112288</t>
        </is>
      </c>
      <c r="B14" s="23" t="n">
        <v>46165</v>
      </c>
      <c r="C14" s="25">
        <f>XLOOKUP(A14,Ej4_Catalogo_WC!$A$5:$A$14,Ej4_Catalogo_WC!$B$5:$B$14,"No encontrado")</f>
        <v/>
      </c>
      <c r="D14" s="25">
        <f>XLOOKUP(A14,Ej4_Catalogo_WC!$A$5:$A$14,Ej4_Catalogo_WC!$C$5:$C$14,"No encontrado")</f>
        <v/>
      </c>
      <c r="E14" s="25">
        <f>XLOOKUP(A14,Ej4_Catalogo_WC!$A$5:$A$14,Ej4_Catalogo_WC!$D$5:$D$14,"No encontrado")</f>
        <v/>
      </c>
      <c r="F14" s="21" t="n">
        <v>8.6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2231A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2" customHeight="1">
      <c r="A1" s="1" t="inlineStr">
        <is>
          <t>Ejercicio 5  Detectar duplicados y valores anomalos</t>
        </is>
      </c>
    </row>
    <row r="2" ht="22" customHeight="1">
      <c r="A2" s="2" t="inlineStr">
        <is>
          <t>Usa formato condicional + CONTAR.SI para encontrar errores</t>
        </is>
      </c>
    </row>
    <row r="4" ht="36" customHeight="1">
      <c r="A4" s="8" t="inlineStr">
        <is>
          <t>OBJETIVO 1: marca en rojo los Numeros de serie duplicados (col A).  OBJETIVO 2: marca en amarillo los Torques fuera del rango 7.0  9.5 Nm (col D).</t>
        </is>
      </c>
    </row>
    <row r="5" ht="44" customHeight="1">
      <c r="A5" s="9" t="inlineStr">
        <is>
          <t>PASO 1: selecciona A8:A30 &gt; Inicio &gt; Formato Condicional &gt; Resaltar reglas &gt; Valores Duplicados.  PASO 2: selecciona D8:D30 &gt; Formato Condicional &gt; Nueva regla &gt; Usar formula:  =O(D8&lt;7,D8&gt;9.5)  &gt; formato amarillo.</t>
        </is>
      </c>
    </row>
    <row r="7" ht="24" customHeight="1">
      <c r="A7" s="10" t="inlineStr">
        <is>
          <t>Numero serie</t>
        </is>
      </c>
      <c r="B7" s="10" t="inlineStr">
        <is>
          <t>Fecha</t>
        </is>
      </c>
      <c r="C7" s="10" t="inlineStr">
        <is>
          <t>Operador</t>
        </is>
      </c>
      <c r="D7" s="10" t="inlineStr">
        <is>
          <t>Torque (Nm)</t>
        </is>
      </c>
      <c r="E7" s="10" t="inlineStr">
        <is>
          <t>Resultado</t>
        </is>
      </c>
      <c r="F7" s="10" t="inlineStr">
        <is>
          <t>Veces (formula)</t>
        </is>
      </c>
    </row>
    <row r="8">
      <c r="A8" s="21" t="inlineStr">
        <is>
          <t>SN-00012</t>
        </is>
      </c>
      <c r="B8" s="23" t="n">
        <v>46162</v>
      </c>
      <c r="C8" s="21" t="inlineStr">
        <is>
          <t>JGM</t>
        </is>
      </c>
      <c r="D8" s="21" t="n">
        <v>8.5</v>
      </c>
      <c r="E8" s="21" t="inlineStr">
        <is>
          <t>OK</t>
        </is>
      </c>
      <c r="F8" s="26">
        <f>COUNTIF($A$8:$A$30,A8)</f>
        <v/>
      </c>
    </row>
    <row r="9">
      <c r="A9" s="21" t="inlineStr">
        <is>
          <t>SN-00013</t>
        </is>
      </c>
      <c r="B9" s="23" t="n">
        <v>46162</v>
      </c>
      <c r="C9" s="21" t="inlineStr">
        <is>
          <t>JGM</t>
        </is>
      </c>
      <c r="D9" s="21" t="n">
        <v>9.699999999999999</v>
      </c>
      <c r="E9" s="21" t="inlineStr">
        <is>
          <t>OK</t>
        </is>
      </c>
      <c r="F9" s="26">
        <f>COUNTIF($A$8:$A$30,A9)</f>
        <v/>
      </c>
    </row>
    <row r="10">
      <c r="A10" s="21" t="inlineStr">
        <is>
          <t>SN-00014</t>
        </is>
      </c>
      <c r="B10" s="23" t="n">
        <v>46162</v>
      </c>
      <c r="C10" s="21" t="inlineStr">
        <is>
          <t>MLR</t>
        </is>
      </c>
      <c r="D10" s="21" t="n">
        <v>7.2</v>
      </c>
      <c r="E10" s="21" t="inlineStr">
        <is>
          <t>OK</t>
        </is>
      </c>
      <c r="F10" s="26">
        <f>COUNTIF($A$8:$A$30,A10)</f>
        <v/>
      </c>
    </row>
    <row r="11">
      <c r="A11" s="21" t="inlineStr">
        <is>
          <t>SN-00015</t>
        </is>
      </c>
      <c r="B11" s="23" t="n">
        <v>46162</v>
      </c>
      <c r="C11" s="21" t="inlineStr">
        <is>
          <t>MLR</t>
        </is>
      </c>
      <c r="D11" s="21" t="n">
        <v>8.6</v>
      </c>
      <c r="E11" s="21" t="inlineStr">
        <is>
          <t>OK</t>
        </is>
      </c>
      <c r="F11" s="26">
        <f>COUNTIF($A$8:$A$30,A11)</f>
        <v/>
      </c>
    </row>
    <row r="12">
      <c r="A12" s="21" t="inlineStr">
        <is>
          <t>SN-00012</t>
        </is>
      </c>
      <c r="B12" s="23" t="n">
        <v>46163</v>
      </c>
      <c r="C12" s="21" t="inlineStr">
        <is>
          <t>RNH</t>
        </is>
      </c>
      <c r="D12" s="21" t="n">
        <v>8.4</v>
      </c>
      <c r="E12" s="21" t="inlineStr">
        <is>
          <t>OK</t>
        </is>
      </c>
      <c r="F12" s="26">
        <f>COUNTIF($A$8:$A$30,A12)</f>
        <v/>
      </c>
    </row>
    <row r="13">
      <c r="A13" s="21" t="inlineStr">
        <is>
          <t>SN-00016</t>
        </is>
      </c>
      <c r="B13" s="23" t="n">
        <v>46163</v>
      </c>
      <c r="C13" s="21" t="inlineStr">
        <is>
          <t>RNH</t>
        </is>
      </c>
      <c r="D13" s="21" t="n">
        <v>6.8</v>
      </c>
      <c r="E13" s="21" t="inlineStr">
        <is>
          <t>RW</t>
        </is>
      </c>
      <c r="F13" s="26">
        <f>COUNTIF($A$8:$A$30,A13)</f>
        <v/>
      </c>
    </row>
    <row r="14">
      <c r="A14" s="21" t="inlineStr">
        <is>
          <t>SN-00017</t>
        </is>
      </c>
      <c r="B14" s="23" t="n">
        <v>46163</v>
      </c>
      <c r="C14" s="21" t="inlineStr">
        <is>
          <t>EVT</t>
        </is>
      </c>
      <c r="D14" s="21" t="n">
        <v>8.1</v>
      </c>
      <c r="E14" s="21" t="inlineStr">
        <is>
          <t>OK</t>
        </is>
      </c>
      <c r="F14" s="26">
        <f>COUNTIF($A$8:$A$30,A14)</f>
        <v/>
      </c>
    </row>
    <row r="15">
      <c r="A15" s="21" t="inlineStr">
        <is>
          <t>SN-00018</t>
        </is>
      </c>
      <c r="B15" s="23" t="n">
        <v>46163</v>
      </c>
      <c r="C15" s="21" t="inlineStr">
        <is>
          <t>EVT</t>
        </is>
      </c>
      <c r="D15" s="21" t="n">
        <v>8.9</v>
      </c>
      <c r="E15" s="21" t="inlineStr">
        <is>
          <t>OK</t>
        </is>
      </c>
      <c r="F15" s="26">
        <f>COUNTIF($A$8:$A$30,A15)</f>
        <v/>
      </c>
    </row>
    <row r="16">
      <c r="A16" s="21" t="inlineStr">
        <is>
          <t>SN-00019</t>
        </is>
      </c>
      <c r="B16" s="23" t="n">
        <v>46164</v>
      </c>
      <c r="C16" s="21" t="inlineStr">
        <is>
          <t>CPM</t>
        </is>
      </c>
      <c r="D16" s="21" t="n">
        <v>8.699999999999999</v>
      </c>
      <c r="E16" s="21" t="inlineStr">
        <is>
          <t>OK</t>
        </is>
      </c>
      <c r="F16" s="26">
        <f>COUNTIF($A$8:$A$30,A16)</f>
        <v/>
      </c>
    </row>
    <row r="17">
      <c r="A17" s="21" t="inlineStr">
        <is>
          <t>SN-00015</t>
        </is>
      </c>
      <c r="B17" s="23" t="n">
        <v>46164</v>
      </c>
      <c r="C17" s="21" t="inlineStr">
        <is>
          <t>CPM</t>
        </is>
      </c>
      <c r="D17" s="21" t="n">
        <v>8.6</v>
      </c>
      <c r="E17" s="21" t="inlineStr">
        <is>
          <t>OK</t>
        </is>
      </c>
      <c r="F17" s="26">
        <f>COUNTIF($A$8:$A$30,A17)</f>
        <v/>
      </c>
    </row>
    <row r="18">
      <c r="A18" s="21" t="inlineStr">
        <is>
          <t>SN-00020</t>
        </is>
      </c>
      <c r="B18" s="23" t="n">
        <v>46164</v>
      </c>
      <c r="C18" s="21" t="inlineStr">
        <is>
          <t>JGM</t>
        </is>
      </c>
      <c r="D18" s="21" t="n">
        <v>10.1</v>
      </c>
      <c r="E18" s="21" t="inlineStr">
        <is>
          <t>RW</t>
        </is>
      </c>
      <c r="F18" s="26">
        <f>COUNTIF($A$8:$A$30,A18)</f>
        <v/>
      </c>
    </row>
    <row r="19">
      <c r="A19" s="21" t="inlineStr">
        <is>
          <t>SN-00021</t>
        </is>
      </c>
      <c r="B19" s="23" t="n">
        <v>46164</v>
      </c>
      <c r="C19" s="21" t="inlineStr">
        <is>
          <t>JGM</t>
        </is>
      </c>
      <c r="D19" s="21" t="n">
        <v>8.300000000000001</v>
      </c>
      <c r="E19" s="21" t="inlineStr">
        <is>
          <t>OK</t>
        </is>
      </c>
      <c r="F19" s="26">
        <f>COUNTIF($A$8:$A$30,A19)</f>
        <v/>
      </c>
    </row>
    <row r="20">
      <c r="A20" s="21" t="inlineStr">
        <is>
          <t>SN-00022</t>
        </is>
      </c>
      <c r="B20" s="23" t="n">
        <v>46165</v>
      </c>
      <c r="C20" s="21" t="inlineStr">
        <is>
          <t>MLR</t>
        </is>
      </c>
      <c r="D20" s="21" t="n">
        <v>8</v>
      </c>
      <c r="E20" s="21" t="inlineStr">
        <is>
          <t>OK</t>
        </is>
      </c>
      <c r="F20" s="26">
        <f>COUNTIF($A$8:$A$30,A20)</f>
        <v/>
      </c>
    </row>
    <row r="21">
      <c r="A21" s="21" t="inlineStr">
        <is>
          <t>SN-00023</t>
        </is>
      </c>
      <c r="B21" s="23" t="n">
        <v>46165</v>
      </c>
      <c r="C21" s="21" t="inlineStr">
        <is>
          <t>MLR</t>
        </is>
      </c>
      <c r="D21" s="21" t="n">
        <v>7.9</v>
      </c>
      <c r="E21" s="21" t="inlineStr">
        <is>
          <t>OK</t>
        </is>
      </c>
      <c r="F21" s="26">
        <f>COUNTIF($A$8:$A$30,A21)</f>
        <v/>
      </c>
    </row>
    <row r="22">
      <c r="A22" s="21" t="inlineStr">
        <is>
          <t>SN-00014</t>
        </is>
      </c>
      <c r="B22" s="23" t="n">
        <v>46165</v>
      </c>
      <c r="C22" s="21" t="inlineStr">
        <is>
          <t>RNH</t>
        </is>
      </c>
      <c r="D22" s="21" t="n">
        <v>7.3</v>
      </c>
      <c r="E22" s="21" t="inlineStr">
        <is>
          <t>OK</t>
        </is>
      </c>
      <c r="F22" s="26">
        <f>COUNTIF($A$8:$A$30,A22)</f>
        <v/>
      </c>
    </row>
    <row r="23">
      <c r="A23" s="21" t="inlineStr">
        <is>
          <t>SN-00024</t>
        </is>
      </c>
      <c r="B23" s="23" t="n">
        <v>46165</v>
      </c>
      <c r="C23" s="21" t="inlineStr">
        <is>
          <t>EVT</t>
        </is>
      </c>
      <c r="D23" s="21" t="n">
        <v>8.800000000000001</v>
      </c>
      <c r="E23" s="21" t="inlineStr">
        <is>
          <t>OK</t>
        </is>
      </c>
      <c r="F23" s="26">
        <f>COUNTIF($A$8:$A$30,A23)</f>
        <v/>
      </c>
    </row>
    <row r="24">
      <c r="A24" s="21" t="inlineStr">
        <is>
          <t>SN-00025</t>
        </is>
      </c>
      <c r="B24" s="23" t="n">
        <v>46166</v>
      </c>
      <c r="C24" s="21" t="inlineStr">
        <is>
          <t>CPM</t>
        </is>
      </c>
      <c r="D24" s="21" t="n">
        <v>9.199999999999999</v>
      </c>
      <c r="E24" s="21" t="inlineStr">
        <is>
          <t>OK</t>
        </is>
      </c>
      <c r="F24" s="26">
        <f>COUNTIF($A$8:$A$30,A24)</f>
        <v/>
      </c>
    </row>
    <row r="25">
      <c r="A25" s="21" t="inlineStr">
        <is>
          <t>SN-00026</t>
        </is>
      </c>
      <c r="B25" s="23" t="n">
        <v>46166</v>
      </c>
      <c r="C25" s="21" t="inlineStr">
        <is>
          <t>JGM</t>
        </is>
      </c>
      <c r="D25" s="21" t="n">
        <v>8.5</v>
      </c>
      <c r="E25" s="21" t="inlineStr">
        <is>
          <t>OK</t>
        </is>
      </c>
      <c r="F25" s="26">
        <f>COUNTIF($A$8:$A$30,A25)</f>
        <v/>
      </c>
    </row>
    <row r="26">
      <c r="A26" s="21" t="inlineStr">
        <is>
          <t>SN-00027</t>
        </is>
      </c>
      <c r="B26" s="23" t="n">
        <v>46166</v>
      </c>
      <c r="C26" s="21" t="inlineStr">
        <is>
          <t>MLR</t>
        </is>
      </c>
      <c r="D26" s="21" t="n">
        <v>6.5</v>
      </c>
      <c r="E26" s="21" t="inlineStr">
        <is>
          <t>RW</t>
        </is>
      </c>
      <c r="F26" s="26">
        <f>COUNTIF($A$8:$A$30,A26)</f>
        <v/>
      </c>
    </row>
    <row r="27">
      <c r="A27" s="21" t="inlineStr">
        <is>
          <t>SN-00028</t>
        </is>
      </c>
      <c r="B27" s="23" t="n">
        <v>46166</v>
      </c>
      <c r="C27" s="21" t="inlineStr">
        <is>
          <t>RNH</t>
        </is>
      </c>
      <c r="D27" s="21" t="n">
        <v>8.699999999999999</v>
      </c>
      <c r="E27" s="21" t="inlineStr">
        <is>
          <t>OK</t>
        </is>
      </c>
      <c r="F27" s="26">
        <f>COUNTIF($A$8:$A$30,A27)</f>
        <v/>
      </c>
    </row>
    <row r="28">
      <c r="A28" s="21" t="inlineStr">
        <is>
          <t>SN-00029</t>
        </is>
      </c>
      <c r="B28" s="23" t="n">
        <v>46167</v>
      </c>
      <c r="C28" s="21" t="inlineStr">
        <is>
          <t>EVT</t>
        </is>
      </c>
      <c r="D28" s="21" t="n">
        <v>8.4</v>
      </c>
      <c r="E28" s="21" t="inlineStr">
        <is>
          <t>OK</t>
        </is>
      </c>
      <c r="F28" s="26">
        <f>COUNTIF($A$8:$A$30,A28)</f>
        <v/>
      </c>
    </row>
    <row r="29">
      <c r="A29" s="21" t="inlineStr">
        <is>
          <t>SN-00030</t>
        </is>
      </c>
      <c r="B29" s="23" t="n">
        <v>46167</v>
      </c>
      <c r="C29" s="21" t="inlineStr">
        <is>
          <t>CPM</t>
        </is>
      </c>
      <c r="D29" s="21" t="n">
        <v>9.1</v>
      </c>
      <c r="E29" s="21" t="inlineStr">
        <is>
          <t>OK</t>
        </is>
      </c>
      <c r="F29" s="26">
        <f>COUNTIF($A$8:$A$30,A29)</f>
        <v/>
      </c>
    </row>
    <row r="30">
      <c r="A30" s="21" t="inlineStr">
        <is>
          <t>SN-00012</t>
        </is>
      </c>
      <c r="B30" s="23" t="n">
        <v>46167</v>
      </c>
      <c r="C30" s="21" t="inlineStr">
        <is>
          <t>JGM</t>
        </is>
      </c>
      <c r="D30" s="21" t="n">
        <v>8.6</v>
      </c>
      <c r="E30" s="21" t="inlineStr">
        <is>
          <t>OK</t>
        </is>
      </c>
      <c r="F30" s="26">
        <f>COUNTIF($A$8:$A$30,A30)</f>
        <v/>
      </c>
    </row>
  </sheetData>
  <mergeCells count="4">
    <mergeCell ref="A2:F2"/>
    <mergeCell ref="A1:F1"/>
    <mergeCell ref="A5:F5"/>
    <mergeCell ref="A4:F4"/>
  </mergeCells>
  <conditionalFormatting sqref="A8:A30">
    <cfRule type="expression" priority="1" dxfId="0" stopIfTrue="0">
      <formula>COUNTIF($A$8:$A$30,A8)&gt;1</formula>
    </cfRule>
  </conditionalFormatting>
  <conditionalFormatting sqref="D8:D30">
    <cfRule type="expression" priority="2" dxfId="1" stopIfTrue="0">
      <formula>OR(D8&lt;7,D8&gt;9.5)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2231A"/>
    <outlinePr summaryBelow="1" summaryRight="1"/>
    <pageSetUpPr/>
  </sheetPr>
  <dimension ref="A1:F30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8" customWidth="1" min="4" max="4"/>
    <col width="12" customWidth="1" min="5" max="5"/>
    <col width="14" customWidth="1" min="6" max="6"/>
  </cols>
  <sheetData>
    <row r="1" ht="32" customHeight="1">
      <c r="A1" s="1" t="inlineStr">
        <is>
          <t>Ejercicio 6  Tabla dinamica de calidad</t>
        </is>
      </c>
    </row>
    <row r="2" ht="22" customHeight="1">
      <c r="A2" s="2" t="inlineStr">
        <is>
          <t>Convierte estos datos planos en un Pivot que muestre % de defectos por linea y turno</t>
        </is>
      </c>
    </row>
    <row r="4" ht="42" customHeight="1">
      <c r="A4" s="8" t="inlineStr">
        <is>
          <t>OBJETIVO: a partir de los datos de abajo, construir una tabla dinamica que muestre por linea y turno: (a) total de piezas, (b) total de defectos, (c) % defectos = defectos / piezas.</t>
        </is>
      </c>
    </row>
    <row r="5" ht="70" customHeight="1">
      <c r="A5" s="9" t="inlineStr">
        <is>
          <t>PASOS:  1) Click en cualquier celda de los datos.  2) Insertar &gt; Tabla dinamica &gt; Nueva hoja.  3) FILAS: Linea.  COLUMNAS: Turno.  VALORES: Suma de Piezas, Suma de Defectos.  4) Agrega campo calculado:  Pivot &gt; Analizar &gt; Campos &gt; Campo calculado &gt; Nombre '% Def' &gt; Formula = Defectos / Piezas.  5) Da formato porcentaje a la columna.</t>
        </is>
      </c>
    </row>
    <row r="7" ht="24" customHeight="1">
      <c r="A7" s="10" t="inlineStr">
        <is>
          <t>Fecha</t>
        </is>
      </c>
      <c r="B7" s="10" t="inlineStr">
        <is>
          <t>Linea</t>
        </is>
      </c>
      <c r="C7" s="10" t="inlineStr">
        <is>
          <t>Turno</t>
        </is>
      </c>
      <c r="D7" s="10" t="inlineStr">
        <is>
          <t>Tipo defecto</t>
        </is>
      </c>
      <c r="E7" s="10" t="inlineStr">
        <is>
          <t>Piezas</t>
        </is>
      </c>
      <c r="F7" s="10" t="inlineStr">
        <is>
          <t>Defectos</t>
        </is>
      </c>
    </row>
    <row r="8">
      <c r="A8" s="23" t="n">
        <v>46143</v>
      </c>
      <c r="B8" s="21" t="inlineStr">
        <is>
          <t>LineaA03</t>
        </is>
      </c>
      <c r="C8" s="21" t="inlineStr">
        <is>
          <t>T1</t>
        </is>
      </c>
      <c r="D8" s="21" t="inlineStr">
        <is>
          <t>Soldadura</t>
        </is>
      </c>
      <c r="E8" s="21" t="n">
        <v>365</v>
      </c>
      <c r="F8" s="21" t="n">
        <v>16</v>
      </c>
    </row>
    <row r="9">
      <c r="A9" s="23" t="n">
        <v>46143</v>
      </c>
      <c r="B9" s="21" t="inlineStr">
        <is>
          <t>LineaA03</t>
        </is>
      </c>
      <c r="C9" s="21" t="inlineStr">
        <is>
          <t>T2</t>
        </is>
      </c>
      <c r="D9" s="21" t="inlineStr">
        <is>
          <t>Funcional</t>
        </is>
      </c>
      <c r="E9" s="21" t="n">
        <v>237</v>
      </c>
      <c r="F9" s="21" t="n">
        <v>5</v>
      </c>
    </row>
    <row r="10">
      <c r="A10" s="23" t="n">
        <v>46143</v>
      </c>
      <c r="B10" s="21" t="inlineStr">
        <is>
          <t>LineaA03</t>
        </is>
      </c>
      <c r="C10" s="21" t="inlineStr">
        <is>
          <t>T3</t>
        </is>
      </c>
      <c r="D10" s="21" t="inlineStr">
        <is>
          <t>Funcional</t>
        </is>
      </c>
      <c r="E10" s="21" t="n">
        <v>248</v>
      </c>
      <c r="F10" s="21" t="n">
        <v>6</v>
      </c>
    </row>
    <row r="11">
      <c r="A11" s="23" t="n">
        <v>46143</v>
      </c>
      <c r="B11" s="21" t="inlineStr">
        <is>
          <t>LineaB07</t>
        </is>
      </c>
      <c r="C11" s="21" t="inlineStr">
        <is>
          <t>T1</t>
        </is>
      </c>
      <c r="D11" s="21" t="inlineStr">
        <is>
          <t>Soldadura</t>
        </is>
      </c>
      <c r="E11" s="21" t="n">
        <v>309</v>
      </c>
      <c r="F11" s="21" t="n">
        <v>10</v>
      </c>
    </row>
    <row r="12">
      <c r="A12" s="23" t="n">
        <v>46143</v>
      </c>
      <c r="B12" s="21" t="inlineStr">
        <is>
          <t>LineaB07</t>
        </is>
      </c>
      <c r="C12" s="21" t="inlineStr">
        <is>
          <t>T2</t>
        </is>
      </c>
      <c r="D12" s="21" t="inlineStr">
        <is>
          <t>Soldadura</t>
        </is>
      </c>
      <c r="E12" s="21" t="n">
        <v>244</v>
      </c>
      <c r="F12" s="21" t="n">
        <v>6</v>
      </c>
    </row>
    <row r="13">
      <c r="A13" s="23" t="n">
        <v>46143</v>
      </c>
      <c r="B13" s="21" t="inlineStr">
        <is>
          <t>LineaB07</t>
        </is>
      </c>
      <c r="C13" s="21" t="inlineStr">
        <is>
          <t>T3</t>
        </is>
      </c>
      <c r="D13" s="21" t="inlineStr">
        <is>
          <t>Visual</t>
        </is>
      </c>
      <c r="E13" s="21" t="n">
        <v>482</v>
      </c>
      <c r="F13" s="21" t="n">
        <v>15</v>
      </c>
    </row>
    <row r="14">
      <c r="A14" s="23" t="n">
        <v>46143</v>
      </c>
      <c r="B14" s="21" t="inlineStr">
        <is>
          <t>LineaC11</t>
        </is>
      </c>
      <c r="C14" s="21" t="inlineStr">
        <is>
          <t>T1</t>
        </is>
      </c>
      <c r="D14" s="21" t="inlineStr">
        <is>
          <t>Pintura</t>
        </is>
      </c>
      <c r="E14" s="21" t="n">
        <v>230</v>
      </c>
      <c r="F14" s="21" t="n">
        <v>7</v>
      </c>
    </row>
    <row r="15">
      <c r="A15" s="23" t="n">
        <v>46143</v>
      </c>
      <c r="B15" s="21" t="inlineStr">
        <is>
          <t>LineaC11</t>
        </is>
      </c>
      <c r="C15" s="21" t="inlineStr">
        <is>
          <t>T2</t>
        </is>
      </c>
      <c r="D15" s="21" t="inlineStr">
        <is>
          <t>Funcional</t>
        </is>
      </c>
      <c r="E15" s="21" t="n">
        <v>522</v>
      </c>
      <c r="F15" s="21" t="n">
        <v>12</v>
      </c>
    </row>
    <row r="16">
      <c r="A16" s="23" t="n">
        <v>46143</v>
      </c>
      <c r="B16" s="21" t="inlineStr">
        <is>
          <t>LineaC11</t>
        </is>
      </c>
      <c r="C16" s="21" t="inlineStr">
        <is>
          <t>T3</t>
        </is>
      </c>
      <c r="D16" s="21" t="inlineStr">
        <is>
          <t>Pintura</t>
        </is>
      </c>
      <c r="E16" s="21" t="n">
        <v>231</v>
      </c>
      <c r="F16" s="21" t="n">
        <v>3</v>
      </c>
    </row>
    <row r="17">
      <c r="A17" s="23" t="n">
        <v>46143</v>
      </c>
      <c r="B17" s="21" t="inlineStr">
        <is>
          <t>LineaD22</t>
        </is>
      </c>
      <c r="C17" s="21" t="inlineStr">
        <is>
          <t>T1</t>
        </is>
      </c>
      <c r="D17" s="21" t="inlineStr">
        <is>
          <t>Funcional</t>
        </is>
      </c>
      <c r="E17" s="21" t="n">
        <v>223</v>
      </c>
      <c r="F17" s="21" t="n">
        <v>5</v>
      </c>
    </row>
    <row r="18">
      <c r="A18" s="23" t="n">
        <v>46143</v>
      </c>
      <c r="B18" s="21" t="inlineStr">
        <is>
          <t>LineaD22</t>
        </is>
      </c>
      <c r="C18" s="21" t="inlineStr">
        <is>
          <t>T2</t>
        </is>
      </c>
      <c r="D18" s="21" t="inlineStr">
        <is>
          <t>Soldadura</t>
        </is>
      </c>
      <c r="E18" s="21" t="n">
        <v>268</v>
      </c>
      <c r="F18" s="21" t="n">
        <v>7</v>
      </c>
    </row>
    <row r="19">
      <c r="A19" s="23" t="n">
        <v>46143</v>
      </c>
      <c r="B19" s="21" t="inlineStr">
        <is>
          <t>LineaD22</t>
        </is>
      </c>
      <c r="C19" s="21" t="inlineStr">
        <is>
          <t>T3</t>
        </is>
      </c>
      <c r="D19" s="21" t="inlineStr">
        <is>
          <t>Dimensional</t>
        </is>
      </c>
      <c r="E19" s="21" t="n">
        <v>492</v>
      </c>
      <c r="F19" s="21" t="n">
        <v>18</v>
      </c>
    </row>
    <row r="20">
      <c r="A20" s="23" t="n">
        <v>46143</v>
      </c>
      <c r="B20" s="21" t="inlineStr">
        <is>
          <t>LineaE05</t>
        </is>
      </c>
      <c r="C20" s="21" t="inlineStr">
        <is>
          <t>T1</t>
        </is>
      </c>
      <c r="D20" s="21" t="inlineStr">
        <is>
          <t>Funcional</t>
        </is>
      </c>
      <c r="E20" s="21" t="n">
        <v>486</v>
      </c>
      <c r="F20" s="21" t="n">
        <v>16</v>
      </c>
    </row>
    <row r="21">
      <c r="A21" s="23" t="n">
        <v>46143</v>
      </c>
      <c r="B21" s="21" t="inlineStr">
        <is>
          <t>LineaE05</t>
        </is>
      </c>
      <c r="C21" s="21" t="inlineStr">
        <is>
          <t>T2</t>
        </is>
      </c>
      <c r="D21" s="21" t="inlineStr">
        <is>
          <t>Pintura</t>
        </is>
      </c>
      <c r="E21" s="21" t="n">
        <v>492</v>
      </c>
      <c r="F21" s="21" t="n">
        <v>10</v>
      </c>
    </row>
    <row r="22">
      <c r="A22" s="23" t="n">
        <v>46143</v>
      </c>
      <c r="B22" s="21" t="inlineStr">
        <is>
          <t>LineaE05</t>
        </is>
      </c>
      <c r="C22" s="21" t="inlineStr">
        <is>
          <t>T3</t>
        </is>
      </c>
      <c r="D22" s="21" t="inlineStr">
        <is>
          <t>Funcional</t>
        </is>
      </c>
      <c r="E22" s="21" t="n">
        <v>390</v>
      </c>
      <c r="F22" s="21" t="n">
        <v>19</v>
      </c>
    </row>
    <row r="23">
      <c r="A23" s="23" t="n">
        <v>46144</v>
      </c>
      <c r="B23" s="21" t="inlineStr">
        <is>
          <t>LineaA03</t>
        </is>
      </c>
      <c r="C23" s="21" t="inlineStr">
        <is>
          <t>T1</t>
        </is>
      </c>
      <c r="D23" s="21" t="inlineStr">
        <is>
          <t>Funcional</t>
        </is>
      </c>
      <c r="E23" s="21" t="n">
        <v>230</v>
      </c>
      <c r="F23" s="21" t="n">
        <v>10</v>
      </c>
    </row>
    <row r="24">
      <c r="A24" s="23" t="n">
        <v>46144</v>
      </c>
      <c r="B24" s="21" t="inlineStr">
        <is>
          <t>LineaA03</t>
        </is>
      </c>
      <c r="C24" s="21" t="inlineStr">
        <is>
          <t>T2</t>
        </is>
      </c>
      <c r="D24" s="21" t="inlineStr">
        <is>
          <t>Dimensional</t>
        </is>
      </c>
      <c r="E24" s="21" t="n">
        <v>305</v>
      </c>
      <c r="F24" s="21" t="n">
        <v>3</v>
      </c>
    </row>
    <row r="25">
      <c r="A25" s="23" t="n">
        <v>46144</v>
      </c>
      <c r="B25" s="21" t="inlineStr">
        <is>
          <t>LineaA03</t>
        </is>
      </c>
      <c r="C25" s="21" t="inlineStr">
        <is>
          <t>T3</t>
        </is>
      </c>
      <c r="D25" s="21" t="inlineStr">
        <is>
          <t>Funcional</t>
        </is>
      </c>
      <c r="E25" s="21" t="n">
        <v>438</v>
      </c>
      <c r="F25" s="21" t="n">
        <v>13</v>
      </c>
    </row>
    <row r="26">
      <c r="A26" s="23" t="n">
        <v>46144</v>
      </c>
      <c r="B26" s="21" t="inlineStr">
        <is>
          <t>LineaB07</t>
        </is>
      </c>
      <c r="C26" s="21" t="inlineStr">
        <is>
          <t>T1</t>
        </is>
      </c>
      <c r="D26" s="21" t="inlineStr">
        <is>
          <t>Pintura</t>
        </is>
      </c>
      <c r="E26" s="21" t="n">
        <v>432</v>
      </c>
      <c r="F26" s="21" t="n">
        <v>9</v>
      </c>
    </row>
    <row r="27">
      <c r="A27" s="23" t="n">
        <v>46144</v>
      </c>
      <c r="B27" s="21" t="inlineStr">
        <is>
          <t>LineaB07</t>
        </is>
      </c>
      <c r="C27" s="21" t="inlineStr">
        <is>
          <t>T2</t>
        </is>
      </c>
      <c r="D27" s="21" t="inlineStr">
        <is>
          <t>Pintura</t>
        </is>
      </c>
      <c r="E27" s="21" t="n">
        <v>557</v>
      </c>
      <c r="F27" s="21" t="n">
        <v>21</v>
      </c>
    </row>
    <row r="28">
      <c r="A28" s="23" t="n">
        <v>46144</v>
      </c>
      <c r="B28" s="21" t="inlineStr">
        <is>
          <t>LineaB07</t>
        </is>
      </c>
      <c r="C28" s="21" t="inlineStr">
        <is>
          <t>T3</t>
        </is>
      </c>
      <c r="D28" s="21" t="inlineStr">
        <is>
          <t>Dimensional</t>
        </is>
      </c>
      <c r="E28" s="21" t="n">
        <v>241</v>
      </c>
      <c r="F28" s="21" t="n">
        <v>3</v>
      </c>
    </row>
    <row r="29">
      <c r="A29" s="23" t="n">
        <v>46144</v>
      </c>
      <c r="B29" s="21" t="inlineStr">
        <is>
          <t>LineaC11</t>
        </is>
      </c>
      <c r="C29" s="21" t="inlineStr">
        <is>
          <t>T1</t>
        </is>
      </c>
      <c r="D29" s="21" t="inlineStr">
        <is>
          <t>Visual</t>
        </is>
      </c>
      <c r="E29" s="21" t="n">
        <v>573</v>
      </c>
      <c r="F29" s="21" t="n">
        <v>12</v>
      </c>
    </row>
    <row r="30">
      <c r="A30" s="23" t="n">
        <v>46144</v>
      </c>
      <c r="B30" s="21" t="inlineStr">
        <is>
          <t>LineaC11</t>
        </is>
      </c>
      <c r="C30" s="21" t="inlineStr">
        <is>
          <t>T2</t>
        </is>
      </c>
      <c r="D30" s="21" t="inlineStr">
        <is>
          <t>Funcional</t>
        </is>
      </c>
      <c r="E30" s="21" t="n">
        <v>347</v>
      </c>
      <c r="F30" s="21" t="n">
        <v>8</v>
      </c>
    </row>
    <row r="31">
      <c r="A31" s="23" t="n">
        <v>46144</v>
      </c>
      <c r="B31" s="21" t="inlineStr">
        <is>
          <t>LineaC11</t>
        </is>
      </c>
      <c r="C31" s="21" t="inlineStr">
        <is>
          <t>T3</t>
        </is>
      </c>
      <c r="D31" s="21" t="inlineStr">
        <is>
          <t>Pintura</t>
        </is>
      </c>
      <c r="E31" s="21" t="n">
        <v>414</v>
      </c>
      <c r="F31" s="21" t="n">
        <v>10</v>
      </c>
    </row>
    <row r="32">
      <c r="A32" s="23" t="n">
        <v>46144</v>
      </c>
      <c r="B32" s="21" t="inlineStr">
        <is>
          <t>LineaD22</t>
        </is>
      </c>
      <c r="C32" s="21" t="inlineStr">
        <is>
          <t>T1</t>
        </is>
      </c>
      <c r="D32" s="21" t="inlineStr">
        <is>
          <t>Visual</t>
        </is>
      </c>
      <c r="E32" s="21" t="n">
        <v>587</v>
      </c>
      <c r="F32" s="21" t="n">
        <v>6</v>
      </c>
    </row>
    <row r="33">
      <c r="A33" s="23" t="n">
        <v>46144</v>
      </c>
      <c r="B33" s="21" t="inlineStr">
        <is>
          <t>LineaD22</t>
        </is>
      </c>
      <c r="C33" s="21" t="inlineStr">
        <is>
          <t>T2</t>
        </is>
      </c>
      <c r="D33" s="21" t="inlineStr">
        <is>
          <t>Soldadura</t>
        </is>
      </c>
      <c r="E33" s="21" t="n">
        <v>220</v>
      </c>
      <c r="F33" s="21" t="n">
        <v>13</v>
      </c>
    </row>
    <row r="34">
      <c r="A34" s="23" t="n">
        <v>46144</v>
      </c>
      <c r="B34" s="21" t="inlineStr">
        <is>
          <t>LineaD22</t>
        </is>
      </c>
      <c r="C34" s="21" t="inlineStr">
        <is>
          <t>T3</t>
        </is>
      </c>
      <c r="D34" s="21" t="inlineStr">
        <is>
          <t>Dimensional</t>
        </is>
      </c>
      <c r="E34" s="21" t="n">
        <v>591</v>
      </c>
      <c r="F34" s="21" t="n">
        <v>3</v>
      </c>
    </row>
    <row r="35">
      <c r="A35" s="23" t="n">
        <v>46144</v>
      </c>
      <c r="B35" s="21" t="inlineStr">
        <is>
          <t>LineaE05</t>
        </is>
      </c>
      <c r="C35" s="21" t="inlineStr">
        <is>
          <t>T1</t>
        </is>
      </c>
      <c r="D35" s="21" t="inlineStr">
        <is>
          <t>Dimensional</t>
        </is>
      </c>
      <c r="E35" s="21" t="n">
        <v>374</v>
      </c>
      <c r="F35" s="21" t="n">
        <v>7</v>
      </c>
    </row>
    <row r="36">
      <c r="A36" s="23" t="n">
        <v>46144</v>
      </c>
      <c r="B36" s="21" t="inlineStr">
        <is>
          <t>LineaE05</t>
        </is>
      </c>
      <c r="C36" s="21" t="inlineStr">
        <is>
          <t>T2</t>
        </is>
      </c>
      <c r="D36" s="21" t="inlineStr">
        <is>
          <t>Soldadura</t>
        </is>
      </c>
      <c r="E36" s="21" t="n">
        <v>504</v>
      </c>
      <c r="F36" s="21" t="n">
        <v>1</v>
      </c>
    </row>
    <row r="37">
      <c r="A37" s="23" t="n">
        <v>46144</v>
      </c>
      <c r="B37" s="21" t="inlineStr">
        <is>
          <t>LineaE05</t>
        </is>
      </c>
      <c r="C37" s="21" t="inlineStr">
        <is>
          <t>T3</t>
        </is>
      </c>
      <c r="D37" s="21" t="inlineStr">
        <is>
          <t>Dimensional</t>
        </is>
      </c>
      <c r="E37" s="21" t="n">
        <v>247</v>
      </c>
      <c r="F37" s="21" t="n">
        <v>7</v>
      </c>
    </row>
    <row r="38">
      <c r="A38" s="23" t="n">
        <v>46145</v>
      </c>
      <c r="B38" s="21" t="inlineStr">
        <is>
          <t>LineaA03</t>
        </is>
      </c>
      <c r="C38" s="21" t="inlineStr">
        <is>
          <t>T1</t>
        </is>
      </c>
      <c r="D38" s="21" t="inlineStr">
        <is>
          <t>Dimensional</t>
        </is>
      </c>
      <c r="E38" s="21" t="n">
        <v>442</v>
      </c>
      <c r="F38" s="21" t="n">
        <v>12</v>
      </c>
    </row>
    <row r="39">
      <c r="A39" s="23" t="n">
        <v>46145</v>
      </c>
      <c r="B39" s="21" t="inlineStr">
        <is>
          <t>LineaA03</t>
        </is>
      </c>
      <c r="C39" s="21" t="inlineStr">
        <is>
          <t>T2</t>
        </is>
      </c>
      <c r="D39" s="21" t="inlineStr">
        <is>
          <t>Funcional</t>
        </is>
      </c>
      <c r="E39" s="21" t="n">
        <v>531</v>
      </c>
      <c r="F39" s="21" t="n">
        <v>13</v>
      </c>
    </row>
    <row r="40">
      <c r="A40" s="23" t="n">
        <v>46145</v>
      </c>
      <c r="B40" s="21" t="inlineStr">
        <is>
          <t>LineaA03</t>
        </is>
      </c>
      <c r="C40" s="21" t="inlineStr">
        <is>
          <t>T3</t>
        </is>
      </c>
      <c r="D40" s="21" t="inlineStr">
        <is>
          <t>Visual</t>
        </is>
      </c>
      <c r="E40" s="21" t="n">
        <v>548</v>
      </c>
      <c r="F40" s="21" t="n">
        <v>19</v>
      </c>
    </row>
    <row r="41">
      <c r="A41" s="23" t="n">
        <v>46145</v>
      </c>
      <c r="B41" s="21" t="inlineStr">
        <is>
          <t>LineaB07</t>
        </is>
      </c>
      <c r="C41" s="21" t="inlineStr">
        <is>
          <t>T1</t>
        </is>
      </c>
      <c r="D41" s="21" t="inlineStr">
        <is>
          <t>Dimensional</t>
        </is>
      </c>
      <c r="E41" s="21" t="n">
        <v>542</v>
      </c>
      <c r="F41" s="21" t="n">
        <v>10</v>
      </c>
    </row>
    <row r="42">
      <c r="A42" s="23" t="n">
        <v>46145</v>
      </c>
      <c r="B42" s="21" t="inlineStr">
        <is>
          <t>LineaB07</t>
        </is>
      </c>
      <c r="C42" s="21" t="inlineStr">
        <is>
          <t>T2</t>
        </is>
      </c>
      <c r="D42" s="21" t="inlineStr">
        <is>
          <t>Funcional</t>
        </is>
      </c>
      <c r="E42" s="21" t="n">
        <v>211</v>
      </c>
      <c r="F42" s="21" t="n">
        <v>9</v>
      </c>
    </row>
    <row r="43">
      <c r="A43" s="23" t="n">
        <v>46145</v>
      </c>
      <c r="B43" s="21" t="inlineStr">
        <is>
          <t>LineaB07</t>
        </is>
      </c>
      <c r="C43" s="21" t="inlineStr">
        <is>
          <t>T3</t>
        </is>
      </c>
      <c r="D43" s="21" t="inlineStr">
        <is>
          <t>Visual</t>
        </is>
      </c>
      <c r="E43" s="21" t="n">
        <v>259</v>
      </c>
      <c r="F43" s="21" t="n">
        <v>6</v>
      </c>
    </row>
    <row r="44">
      <c r="A44" s="23" t="n">
        <v>46145</v>
      </c>
      <c r="B44" s="21" t="inlineStr">
        <is>
          <t>LineaC11</t>
        </is>
      </c>
      <c r="C44" s="21" t="inlineStr">
        <is>
          <t>T1</t>
        </is>
      </c>
      <c r="D44" s="21" t="inlineStr">
        <is>
          <t>Pintura</t>
        </is>
      </c>
      <c r="E44" s="21" t="n">
        <v>230</v>
      </c>
      <c r="F44" s="21" t="n">
        <v>7</v>
      </c>
    </row>
    <row r="45">
      <c r="A45" s="23" t="n">
        <v>46145</v>
      </c>
      <c r="B45" s="21" t="inlineStr">
        <is>
          <t>LineaC11</t>
        </is>
      </c>
      <c r="C45" s="21" t="inlineStr">
        <is>
          <t>T2</t>
        </is>
      </c>
      <c r="D45" s="21" t="inlineStr">
        <is>
          <t>Visual</t>
        </is>
      </c>
      <c r="E45" s="21" t="n">
        <v>403</v>
      </c>
      <c r="F45" s="21" t="n">
        <v>16</v>
      </c>
    </row>
    <row r="46">
      <c r="A46" s="23" t="n">
        <v>46145</v>
      </c>
      <c r="B46" s="21" t="inlineStr">
        <is>
          <t>LineaC11</t>
        </is>
      </c>
      <c r="C46" s="21" t="inlineStr">
        <is>
          <t>T3</t>
        </is>
      </c>
      <c r="D46" s="21" t="inlineStr">
        <is>
          <t>Funcional</t>
        </is>
      </c>
      <c r="E46" s="21" t="n">
        <v>454</v>
      </c>
      <c r="F46" s="21" t="n">
        <v>20</v>
      </c>
    </row>
    <row r="47">
      <c r="A47" s="23" t="n">
        <v>46145</v>
      </c>
      <c r="B47" s="21" t="inlineStr">
        <is>
          <t>LineaD22</t>
        </is>
      </c>
      <c r="C47" s="21" t="inlineStr">
        <is>
          <t>T1</t>
        </is>
      </c>
      <c r="D47" s="21" t="inlineStr">
        <is>
          <t>Pintura</t>
        </is>
      </c>
      <c r="E47" s="21" t="n">
        <v>342</v>
      </c>
      <c r="F47" s="21" t="n">
        <v>12</v>
      </c>
    </row>
    <row r="48">
      <c r="A48" s="23" t="n">
        <v>46145</v>
      </c>
      <c r="B48" s="21" t="inlineStr">
        <is>
          <t>LineaD22</t>
        </is>
      </c>
      <c r="C48" s="21" t="inlineStr">
        <is>
          <t>T2</t>
        </is>
      </c>
      <c r="D48" s="21" t="inlineStr">
        <is>
          <t>Visual</t>
        </is>
      </c>
      <c r="E48" s="21" t="n">
        <v>420</v>
      </c>
      <c r="F48" s="21" t="n">
        <v>15</v>
      </c>
    </row>
    <row r="49">
      <c r="A49" s="23" t="n">
        <v>46145</v>
      </c>
      <c r="B49" s="21" t="inlineStr">
        <is>
          <t>LineaD22</t>
        </is>
      </c>
      <c r="C49" s="21" t="inlineStr">
        <is>
          <t>T3</t>
        </is>
      </c>
      <c r="D49" s="21" t="inlineStr">
        <is>
          <t>Visual</t>
        </is>
      </c>
      <c r="E49" s="21" t="n">
        <v>383</v>
      </c>
      <c r="F49" s="21" t="n">
        <v>7</v>
      </c>
    </row>
    <row r="50">
      <c r="A50" s="23" t="n">
        <v>46145</v>
      </c>
      <c r="B50" s="21" t="inlineStr">
        <is>
          <t>LineaE05</t>
        </is>
      </c>
      <c r="C50" s="21" t="inlineStr">
        <is>
          <t>T1</t>
        </is>
      </c>
      <c r="D50" s="21" t="inlineStr">
        <is>
          <t>Pintura</t>
        </is>
      </c>
      <c r="E50" s="21" t="n">
        <v>318</v>
      </c>
      <c r="F50" s="21" t="n">
        <v>11</v>
      </c>
    </row>
    <row r="51">
      <c r="A51" s="23" t="n">
        <v>46145</v>
      </c>
      <c r="B51" s="21" t="inlineStr">
        <is>
          <t>LineaE05</t>
        </is>
      </c>
      <c r="C51" s="21" t="inlineStr">
        <is>
          <t>T2</t>
        </is>
      </c>
      <c r="D51" s="21" t="inlineStr">
        <is>
          <t>Pintura</t>
        </is>
      </c>
      <c r="E51" s="21" t="n">
        <v>537</v>
      </c>
      <c r="F51" s="21" t="n">
        <v>20</v>
      </c>
    </row>
    <row r="52">
      <c r="A52" s="23" t="n">
        <v>46145</v>
      </c>
      <c r="B52" s="21" t="inlineStr">
        <is>
          <t>LineaE05</t>
        </is>
      </c>
      <c r="C52" s="21" t="inlineStr">
        <is>
          <t>T3</t>
        </is>
      </c>
      <c r="D52" s="21" t="inlineStr">
        <is>
          <t>Dimensional</t>
        </is>
      </c>
      <c r="E52" s="21" t="n">
        <v>206</v>
      </c>
      <c r="F52" s="21" t="n">
        <v>2</v>
      </c>
    </row>
    <row r="53">
      <c r="A53" s="23" t="n">
        <v>46146</v>
      </c>
      <c r="B53" s="21" t="inlineStr">
        <is>
          <t>LineaA03</t>
        </is>
      </c>
      <c r="C53" s="21" t="inlineStr">
        <is>
          <t>T1</t>
        </is>
      </c>
      <c r="D53" s="21" t="inlineStr">
        <is>
          <t>Soldadura</t>
        </is>
      </c>
      <c r="E53" s="21" t="n">
        <v>344</v>
      </c>
      <c r="F53" s="21" t="n">
        <v>10</v>
      </c>
    </row>
    <row r="54">
      <c r="A54" s="23" t="n">
        <v>46146</v>
      </c>
      <c r="B54" s="21" t="inlineStr">
        <is>
          <t>LineaA03</t>
        </is>
      </c>
      <c r="C54" s="21" t="inlineStr">
        <is>
          <t>T2</t>
        </is>
      </c>
      <c r="D54" s="21" t="inlineStr">
        <is>
          <t>Funcional</t>
        </is>
      </c>
      <c r="E54" s="21" t="n">
        <v>274</v>
      </c>
      <c r="F54" s="21" t="n">
        <v>4</v>
      </c>
    </row>
    <row r="55">
      <c r="A55" s="23" t="n">
        <v>46146</v>
      </c>
      <c r="B55" s="21" t="inlineStr">
        <is>
          <t>LineaA03</t>
        </is>
      </c>
      <c r="C55" s="21" t="inlineStr">
        <is>
          <t>T3</t>
        </is>
      </c>
      <c r="D55" s="21" t="inlineStr">
        <is>
          <t>Pintura</t>
        </is>
      </c>
      <c r="E55" s="21" t="n">
        <v>363</v>
      </c>
      <c r="F55" s="21" t="n">
        <v>13</v>
      </c>
    </row>
    <row r="56">
      <c r="A56" s="23" t="n">
        <v>46146</v>
      </c>
      <c r="B56" s="21" t="inlineStr">
        <is>
          <t>LineaB07</t>
        </is>
      </c>
      <c r="C56" s="21" t="inlineStr">
        <is>
          <t>T1</t>
        </is>
      </c>
      <c r="D56" s="21" t="inlineStr">
        <is>
          <t>Soldadura</t>
        </is>
      </c>
      <c r="E56" s="21" t="n">
        <v>553</v>
      </c>
      <c r="F56" s="21" t="n">
        <v>29</v>
      </c>
    </row>
    <row r="57">
      <c r="A57" s="23" t="n">
        <v>46146</v>
      </c>
      <c r="B57" s="21" t="inlineStr">
        <is>
          <t>LineaB07</t>
        </is>
      </c>
      <c r="C57" s="21" t="inlineStr">
        <is>
          <t>T2</t>
        </is>
      </c>
      <c r="D57" s="21" t="inlineStr">
        <is>
          <t>Funcional</t>
        </is>
      </c>
      <c r="E57" s="21" t="n">
        <v>433</v>
      </c>
      <c r="F57" s="21" t="n">
        <v>0</v>
      </c>
    </row>
    <row r="58">
      <c r="A58" s="23" t="n">
        <v>46146</v>
      </c>
      <c r="B58" s="21" t="inlineStr">
        <is>
          <t>LineaB07</t>
        </is>
      </c>
      <c r="C58" s="21" t="inlineStr">
        <is>
          <t>T3</t>
        </is>
      </c>
      <c r="D58" s="21" t="inlineStr">
        <is>
          <t>Visual</t>
        </is>
      </c>
      <c r="E58" s="21" t="n">
        <v>400</v>
      </c>
      <c r="F58" s="21" t="n">
        <v>7</v>
      </c>
    </row>
    <row r="59">
      <c r="A59" s="23" t="n">
        <v>46146</v>
      </c>
      <c r="B59" s="21" t="inlineStr">
        <is>
          <t>LineaC11</t>
        </is>
      </c>
      <c r="C59" s="21" t="inlineStr">
        <is>
          <t>T1</t>
        </is>
      </c>
      <c r="D59" s="21" t="inlineStr">
        <is>
          <t>Visual</t>
        </is>
      </c>
      <c r="E59" s="21" t="n">
        <v>524</v>
      </c>
      <c r="F59" s="21" t="n">
        <v>20</v>
      </c>
    </row>
    <row r="60">
      <c r="A60" s="23" t="n">
        <v>46146</v>
      </c>
      <c r="B60" s="21" t="inlineStr">
        <is>
          <t>LineaC11</t>
        </is>
      </c>
      <c r="C60" s="21" t="inlineStr">
        <is>
          <t>T2</t>
        </is>
      </c>
      <c r="D60" s="21" t="inlineStr">
        <is>
          <t>Visual</t>
        </is>
      </c>
      <c r="E60" s="21" t="n">
        <v>231</v>
      </c>
      <c r="F60" s="21" t="n">
        <v>10</v>
      </c>
    </row>
    <row r="61">
      <c r="A61" s="23" t="n">
        <v>46146</v>
      </c>
      <c r="B61" s="21" t="inlineStr">
        <is>
          <t>LineaC11</t>
        </is>
      </c>
      <c r="C61" s="21" t="inlineStr">
        <is>
          <t>T3</t>
        </is>
      </c>
      <c r="D61" s="21" t="inlineStr">
        <is>
          <t>Soldadura</t>
        </is>
      </c>
      <c r="E61" s="21" t="n">
        <v>283</v>
      </c>
      <c r="F61" s="21" t="n">
        <v>19</v>
      </c>
    </row>
    <row r="62">
      <c r="A62" s="23" t="n">
        <v>46146</v>
      </c>
      <c r="B62" s="21" t="inlineStr">
        <is>
          <t>LineaD22</t>
        </is>
      </c>
      <c r="C62" s="21" t="inlineStr">
        <is>
          <t>T1</t>
        </is>
      </c>
      <c r="D62" s="21" t="inlineStr">
        <is>
          <t>Funcional</t>
        </is>
      </c>
      <c r="E62" s="21" t="n">
        <v>374</v>
      </c>
      <c r="F62" s="21" t="n">
        <v>9</v>
      </c>
    </row>
    <row r="63">
      <c r="A63" s="23" t="n">
        <v>46146</v>
      </c>
      <c r="B63" s="21" t="inlineStr">
        <is>
          <t>LineaD22</t>
        </is>
      </c>
      <c r="C63" s="21" t="inlineStr">
        <is>
          <t>T2</t>
        </is>
      </c>
      <c r="D63" s="21" t="inlineStr">
        <is>
          <t>Funcional</t>
        </is>
      </c>
      <c r="E63" s="21" t="n">
        <v>277</v>
      </c>
      <c r="F63" s="21" t="n">
        <v>7</v>
      </c>
    </row>
    <row r="64">
      <c r="A64" s="23" t="n">
        <v>46146</v>
      </c>
      <c r="B64" s="21" t="inlineStr">
        <is>
          <t>LineaD22</t>
        </is>
      </c>
      <c r="C64" s="21" t="inlineStr">
        <is>
          <t>T3</t>
        </is>
      </c>
      <c r="D64" s="21" t="inlineStr">
        <is>
          <t>Soldadura</t>
        </is>
      </c>
      <c r="E64" s="21" t="n">
        <v>251</v>
      </c>
      <c r="F64" s="21" t="n">
        <v>12</v>
      </c>
    </row>
    <row r="65">
      <c r="A65" s="23" t="n">
        <v>46146</v>
      </c>
      <c r="B65" s="21" t="inlineStr">
        <is>
          <t>LineaE05</t>
        </is>
      </c>
      <c r="C65" s="21" t="inlineStr">
        <is>
          <t>T1</t>
        </is>
      </c>
      <c r="D65" s="21" t="inlineStr">
        <is>
          <t>Funcional</t>
        </is>
      </c>
      <c r="E65" s="21" t="n">
        <v>306</v>
      </c>
      <c r="F65" s="21" t="n">
        <v>7</v>
      </c>
    </row>
    <row r="66">
      <c r="A66" s="23" t="n">
        <v>46146</v>
      </c>
      <c r="B66" s="21" t="inlineStr">
        <is>
          <t>LineaE05</t>
        </is>
      </c>
      <c r="C66" s="21" t="inlineStr">
        <is>
          <t>T2</t>
        </is>
      </c>
      <c r="D66" s="21" t="inlineStr">
        <is>
          <t>Dimensional</t>
        </is>
      </c>
      <c r="E66" s="21" t="n">
        <v>392</v>
      </c>
      <c r="F66" s="21" t="n">
        <v>14</v>
      </c>
    </row>
    <row r="67">
      <c r="A67" s="23" t="n">
        <v>46146</v>
      </c>
      <c r="B67" s="21" t="inlineStr">
        <is>
          <t>LineaE05</t>
        </is>
      </c>
      <c r="C67" s="21" t="inlineStr">
        <is>
          <t>T3</t>
        </is>
      </c>
      <c r="D67" s="21" t="inlineStr">
        <is>
          <t>Dimensional</t>
        </is>
      </c>
      <c r="E67" s="21" t="n">
        <v>508</v>
      </c>
      <c r="F67" s="21" t="n">
        <v>19</v>
      </c>
    </row>
    <row r="68">
      <c r="A68" s="23" t="n">
        <v>46147</v>
      </c>
      <c r="B68" s="21" t="inlineStr">
        <is>
          <t>LineaA03</t>
        </is>
      </c>
      <c r="C68" s="21" t="inlineStr">
        <is>
          <t>T1</t>
        </is>
      </c>
      <c r="D68" s="21" t="inlineStr">
        <is>
          <t>Visual</t>
        </is>
      </c>
      <c r="E68" s="21" t="n">
        <v>442</v>
      </c>
      <c r="F68" s="21" t="n">
        <v>22</v>
      </c>
    </row>
    <row r="69">
      <c r="A69" s="23" t="n">
        <v>46147</v>
      </c>
      <c r="B69" s="21" t="inlineStr">
        <is>
          <t>LineaA03</t>
        </is>
      </c>
      <c r="C69" s="21" t="inlineStr">
        <is>
          <t>T2</t>
        </is>
      </c>
      <c r="D69" s="21" t="inlineStr">
        <is>
          <t>Visual</t>
        </is>
      </c>
      <c r="E69" s="21" t="n">
        <v>445</v>
      </c>
      <c r="F69" s="21" t="n">
        <v>22</v>
      </c>
    </row>
    <row r="70">
      <c r="A70" s="23" t="n">
        <v>46147</v>
      </c>
      <c r="B70" s="21" t="inlineStr">
        <is>
          <t>LineaA03</t>
        </is>
      </c>
      <c r="C70" s="21" t="inlineStr">
        <is>
          <t>T3</t>
        </is>
      </c>
      <c r="D70" s="21" t="inlineStr">
        <is>
          <t>Dimensional</t>
        </is>
      </c>
      <c r="E70" s="21" t="n">
        <v>359</v>
      </c>
      <c r="F70" s="21" t="n">
        <v>12</v>
      </c>
    </row>
    <row r="71">
      <c r="A71" s="23" t="n">
        <v>46147</v>
      </c>
      <c r="B71" s="21" t="inlineStr">
        <is>
          <t>LineaB07</t>
        </is>
      </c>
      <c r="C71" s="21" t="inlineStr">
        <is>
          <t>T1</t>
        </is>
      </c>
      <c r="D71" s="21" t="inlineStr">
        <is>
          <t>Dimensional</t>
        </is>
      </c>
      <c r="E71" s="21" t="n">
        <v>579</v>
      </c>
      <c r="F71" s="21" t="n">
        <v>19</v>
      </c>
    </row>
    <row r="72">
      <c r="A72" s="23" t="n">
        <v>46147</v>
      </c>
      <c r="B72" s="21" t="inlineStr">
        <is>
          <t>LineaB07</t>
        </is>
      </c>
      <c r="C72" s="21" t="inlineStr">
        <is>
          <t>T2</t>
        </is>
      </c>
      <c r="D72" s="21" t="inlineStr">
        <is>
          <t>Soldadura</t>
        </is>
      </c>
      <c r="E72" s="21" t="n">
        <v>445</v>
      </c>
      <c r="F72" s="21" t="n">
        <v>15</v>
      </c>
    </row>
    <row r="73">
      <c r="A73" s="23" t="n">
        <v>46147</v>
      </c>
      <c r="B73" s="21" t="inlineStr">
        <is>
          <t>LineaB07</t>
        </is>
      </c>
      <c r="C73" s="21" t="inlineStr">
        <is>
          <t>T3</t>
        </is>
      </c>
      <c r="D73" s="21" t="inlineStr">
        <is>
          <t>Funcional</t>
        </is>
      </c>
      <c r="E73" s="21" t="n">
        <v>305</v>
      </c>
      <c r="F73" s="21" t="n">
        <v>6</v>
      </c>
    </row>
    <row r="74">
      <c r="A74" s="23" t="n">
        <v>46147</v>
      </c>
      <c r="B74" s="21" t="inlineStr">
        <is>
          <t>LineaC11</t>
        </is>
      </c>
      <c r="C74" s="21" t="inlineStr">
        <is>
          <t>T1</t>
        </is>
      </c>
      <c r="D74" s="21" t="inlineStr">
        <is>
          <t>Soldadura</t>
        </is>
      </c>
      <c r="E74" s="21" t="n">
        <v>385</v>
      </c>
      <c r="F74" s="21" t="n">
        <v>15</v>
      </c>
    </row>
    <row r="75">
      <c r="A75" s="23" t="n">
        <v>46147</v>
      </c>
      <c r="B75" s="21" t="inlineStr">
        <is>
          <t>LineaC11</t>
        </is>
      </c>
      <c r="C75" s="21" t="inlineStr">
        <is>
          <t>T2</t>
        </is>
      </c>
      <c r="D75" s="21" t="inlineStr">
        <is>
          <t>Funcional</t>
        </is>
      </c>
      <c r="E75" s="21" t="n">
        <v>588</v>
      </c>
      <c r="F75" s="21" t="n">
        <v>26</v>
      </c>
    </row>
    <row r="76">
      <c r="A76" s="23" t="n">
        <v>46147</v>
      </c>
      <c r="B76" s="21" t="inlineStr">
        <is>
          <t>LineaC11</t>
        </is>
      </c>
      <c r="C76" s="21" t="inlineStr">
        <is>
          <t>T3</t>
        </is>
      </c>
      <c r="D76" s="21" t="inlineStr">
        <is>
          <t>Dimensional</t>
        </is>
      </c>
      <c r="E76" s="21" t="n">
        <v>352</v>
      </c>
      <c r="F76" s="21" t="n">
        <v>20</v>
      </c>
    </row>
    <row r="77">
      <c r="A77" s="23" t="n">
        <v>46147</v>
      </c>
      <c r="B77" s="21" t="inlineStr">
        <is>
          <t>LineaD22</t>
        </is>
      </c>
      <c r="C77" s="21" t="inlineStr">
        <is>
          <t>T1</t>
        </is>
      </c>
      <c r="D77" s="21" t="inlineStr">
        <is>
          <t>Dimensional</t>
        </is>
      </c>
      <c r="E77" s="21" t="n">
        <v>465</v>
      </c>
      <c r="F77" s="21" t="n">
        <v>12</v>
      </c>
    </row>
    <row r="78">
      <c r="A78" s="23" t="n">
        <v>46147</v>
      </c>
      <c r="B78" s="21" t="inlineStr">
        <is>
          <t>LineaD22</t>
        </is>
      </c>
      <c r="C78" s="21" t="inlineStr">
        <is>
          <t>T2</t>
        </is>
      </c>
      <c r="D78" s="21" t="inlineStr">
        <is>
          <t>Funcional</t>
        </is>
      </c>
      <c r="E78" s="21" t="n">
        <v>285</v>
      </c>
      <c r="F78" s="21" t="n">
        <v>6</v>
      </c>
    </row>
    <row r="79">
      <c r="A79" s="23" t="n">
        <v>46147</v>
      </c>
      <c r="B79" s="21" t="inlineStr">
        <is>
          <t>LineaD22</t>
        </is>
      </c>
      <c r="C79" s="21" t="inlineStr">
        <is>
          <t>T3</t>
        </is>
      </c>
      <c r="D79" s="21" t="inlineStr">
        <is>
          <t>Funcional</t>
        </is>
      </c>
      <c r="E79" s="21" t="n">
        <v>598</v>
      </c>
      <c r="F79" s="21" t="n">
        <v>22</v>
      </c>
    </row>
    <row r="80">
      <c r="A80" s="23" t="n">
        <v>46147</v>
      </c>
      <c r="B80" s="21" t="inlineStr">
        <is>
          <t>LineaE05</t>
        </is>
      </c>
      <c r="C80" s="21" t="inlineStr">
        <is>
          <t>T1</t>
        </is>
      </c>
      <c r="D80" s="21" t="inlineStr">
        <is>
          <t>Pintura</t>
        </is>
      </c>
      <c r="E80" s="21" t="n">
        <v>368</v>
      </c>
      <c r="F80" s="21" t="n">
        <v>6</v>
      </c>
    </row>
    <row r="81">
      <c r="A81" s="23" t="n">
        <v>46147</v>
      </c>
      <c r="B81" s="21" t="inlineStr">
        <is>
          <t>LineaE05</t>
        </is>
      </c>
      <c r="C81" s="21" t="inlineStr">
        <is>
          <t>T2</t>
        </is>
      </c>
      <c r="D81" s="21" t="inlineStr">
        <is>
          <t>Visual</t>
        </is>
      </c>
      <c r="E81" s="21" t="n">
        <v>322</v>
      </c>
      <c r="F81" s="21" t="n">
        <v>4</v>
      </c>
    </row>
    <row r="82">
      <c r="A82" s="23" t="n">
        <v>46147</v>
      </c>
      <c r="B82" s="21" t="inlineStr">
        <is>
          <t>LineaE05</t>
        </is>
      </c>
      <c r="C82" s="21" t="inlineStr">
        <is>
          <t>T3</t>
        </is>
      </c>
      <c r="D82" s="21" t="inlineStr">
        <is>
          <t>Visual</t>
        </is>
      </c>
      <c r="E82" s="21" t="n">
        <v>578</v>
      </c>
      <c r="F82" s="21" t="n">
        <v>19</v>
      </c>
    </row>
    <row r="83">
      <c r="A83" s="23" t="n">
        <v>46148</v>
      </c>
      <c r="B83" s="21" t="inlineStr">
        <is>
          <t>LineaA03</t>
        </is>
      </c>
      <c r="C83" s="21" t="inlineStr">
        <is>
          <t>T1</t>
        </is>
      </c>
      <c r="D83" s="21" t="inlineStr">
        <is>
          <t>Soldadura</t>
        </is>
      </c>
      <c r="E83" s="21" t="n">
        <v>382</v>
      </c>
      <c r="F83" s="21" t="n">
        <v>7</v>
      </c>
    </row>
    <row r="84">
      <c r="A84" s="23" t="n">
        <v>46148</v>
      </c>
      <c r="B84" s="21" t="inlineStr">
        <is>
          <t>LineaA03</t>
        </is>
      </c>
      <c r="C84" s="21" t="inlineStr">
        <is>
          <t>T2</t>
        </is>
      </c>
      <c r="D84" s="21" t="inlineStr">
        <is>
          <t>Pintura</t>
        </is>
      </c>
      <c r="E84" s="21" t="n">
        <v>214</v>
      </c>
      <c r="F84" s="21" t="n">
        <v>7</v>
      </c>
    </row>
    <row r="85">
      <c r="A85" s="23" t="n">
        <v>46148</v>
      </c>
      <c r="B85" s="21" t="inlineStr">
        <is>
          <t>LineaA03</t>
        </is>
      </c>
      <c r="C85" s="21" t="inlineStr">
        <is>
          <t>T3</t>
        </is>
      </c>
      <c r="D85" s="21" t="inlineStr">
        <is>
          <t>Funcional</t>
        </is>
      </c>
      <c r="E85" s="21" t="n">
        <v>554</v>
      </c>
      <c r="F85" s="21" t="n">
        <v>7</v>
      </c>
    </row>
    <row r="86">
      <c r="A86" s="23" t="n">
        <v>46148</v>
      </c>
      <c r="B86" s="21" t="inlineStr">
        <is>
          <t>LineaB07</t>
        </is>
      </c>
      <c r="C86" s="21" t="inlineStr">
        <is>
          <t>T1</t>
        </is>
      </c>
      <c r="D86" s="21" t="inlineStr">
        <is>
          <t>Dimensional</t>
        </is>
      </c>
      <c r="E86" s="21" t="n">
        <v>376</v>
      </c>
      <c r="F86" s="21" t="n">
        <v>0</v>
      </c>
    </row>
    <row r="87">
      <c r="A87" s="23" t="n">
        <v>46148</v>
      </c>
      <c r="B87" s="21" t="inlineStr">
        <is>
          <t>LineaB07</t>
        </is>
      </c>
      <c r="C87" s="21" t="inlineStr">
        <is>
          <t>T2</t>
        </is>
      </c>
      <c r="D87" s="21" t="inlineStr">
        <is>
          <t>Soldadura</t>
        </is>
      </c>
      <c r="E87" s="21" t="n">
        <v>386</v>
      </c>
      <c r="F87" s="21" t="n">
        <v>16</v>
      </c>
    </row>
    <row r="88">
      <c r="A88" s="23" t="n">
        <v>46148</v>
      </c>
      <c r="B88" s="21" t="inlineStr">
        <is>
          <t>LineaB07</t>
        </is>
      </c>
      <c r="C88" s="21" t="inlineStr">
        <is>
          <t>T3</t>
        </is>
      </c>
      <c r="D88" s="21" t="inlineStr">
        <is>
          <t>Dimensional</t>
        </is>
      </c>
      <c r="E88" s="21" t="n">
        <v>312</v>
      </c>
      <c r="F88" s="21" t="n">
        <v>13</v>
      </c>
    </row>
    <row r="89">
      <c r="A89" s="23" t="n">
        <v>46148</v>
      </c>
      <c r="B89" s="21" t="inlineStr">
        <is>
          <t>LineaC11</t>
        </is>
      </c>
      <c r="C89" s="21" t="inlineStr">
        <is>
          <t>T1</t>
        </is>
      </c>
      <c r="D89" s="21" t="inlineStr">
        <is>
          <t>Visual</t>
        </is>
      </c>
      <c r="E89" s="21" t="n">
        <v>304</v>
      </c>
      <c r="F89" s="21" t="n">
        <v>12</v>
      </c>
    </row>
    <row r="90">
      <c r="A90" s="23" t="n">
        <v>46148</v>
      </c>
      <c r="B90" s="21" t="inlineStr">
        <is>
          <t>LineaC11</t>
        </is>
      </c>
      <c r="C90" s="21" t="inlineStr">
        <is>
          <t>T2</t>
        </is>
      </c>
      <c r="D90" s="21" t="inlineStr">
        <is>
          <t>Soldadura</t>
        </is>
      </c>
      <c r="E90" s="21" t="n">
        <v>519</v>
      </c>
      <c r="F90" s="21" t="n">
        <v>26</v>
      </c>
    </row>
    <row r="91">
      <c r="A91" s="23" t="n">
        <v>46148</v>
      </c>
      <c r="B91" s="21" t="inlineStr">
        <is>
          <t>LineaC11</t>
        </is>
      </c>
      <c r="C91" s="21" t="inlineStr">
        <is>
          <t>T3</t>
        </is>
      </c>
      <c r="D91" s="21" t="inlineStr">
        <is>
          <t>Dimensional</t>
        </is>
      </c>
      <c r="E91" s="21" t="n">
        <v>445</v>
      </c>
      <c r="F91" s="21" t="n">
        <v>12</v>
      </c>
    </row>
    <row r="92">
      <c r="A92" s="23" t="n">
        <v>46148</v>
      </c>
      <c r="B92" s="21" t="inlineStr">
        <is>
          <t>LineaD22</t>
        </is>
      </c>
      <c r="C92" s="21" t="inlineStr">
        <is>
          <t>T1</t>
        </is>
      </c>
      <c r="D92" s="21" t="inlineStr">
        <is>
          <t>Visual</t>
        </is>
      </c>
      <c r="E92" s="21" t="n">
        <v>529</v>
      </c>
      <c r="F92" s="21" t="n">
        <v>25</v>
      </c>
    </row>
    <row r="93">
      <c r="A93" s="23" t="n">
        <v>46148</v>
      </c>
      <c r="B93" s="21" t="inlineStr">
        <is>
          <t>LineaD22</t>
        </is>
      </c>
      <c r="C93" s="21" t="inlineStr">
        <is>
          <t>T2</t>
        </is>
      </c>
      <c r="D93" s="21" t="inlineStr">
        <is>
          <t>Pintura</t>
        </is>
      </c>
      <c r="E93" s="21" t="n">
        <v>600</v>
      </c>
      <c r="F93" s="21" t="n">
        <v>24</v>
      </c>
    </row>
    <row r="94">
      <c r="A94" s="23" t="n">
        <v>46148</v>
      </c>
      <c r="B94" s="21" t="inlineStr">
        <is>
          <t>LineaD22</t>
        </is>
      </c>
      <c r="C94" s="21" t="inlineStr">
        <is>
          <t>T3</t>
        </is>
      </c>
      <c r="D94" s="21" t="inlineStr">
        <is>
          <t>Dimensional</t>
        </is>
      </c>
      <c r="E94" s="21" t="n">
        <v>444</v>
      </c>
      <c r="F94" s="21" t="n">
        <v>18</v>
      </c>
    </row>
    <row r="95">
      <c r="A95" s="23" t="n">
        <v>46148</v>
      </c>
      <c r="B95" s="21" t="inlineStr">
        <is>
          <t>LineaE05</t>
        </is>
      </c>
      <c r="C95" s="21" t="inlineStr">
        <is>
          <t>T1</t>
        </is>
      </c>
      <c r="D95" s="21" t="inlineStr">
        <is>
          <t>Visual</t>
        </is>
      </c>
      <c r="E95" s="21" t="n">
        <v>244</v>
      </c>
      <c r="F95" s="21" t="n">
        <v>4</v>
      </c>
    </row>
    <row r="96">
      <c r="A96" s="23" t="n">
        <v>46148</v>
      </c>
      <c r="B96" s="21" t="inlineStr">
        <is>
          <t>LineaE05</t>
        </is>
      </c>
      <c r="C96" s="21" t="inlineStr">
        <is>
          <t>T2</t>
        </is>
      </c>
      <c r="D96" s="21" t="inlineStr">
        <is>
          <t>Pintura</t>
        </is>
      </c>
      <c r="E96" s="21" t="n">
        <v>437</v>
      </c>
      <c r="F96" s="21" t="n">
        <v>0</v>
      </c>
    </row>
    <row r="97">
      <c r="A97" s="23" t="n">
        <v>46148</v>
      </c>
      <c r="B97" s="21" t="inlineStr">
        <is>
          <t>LineaE05</t>
        </is>
      </c>
      <c r="C97" s="21" t="inlineStr">
        <is>
          <t>T3</t>
        </is>
      </c>
      <c r="D97" s="21" t="inlineStr">
        <is>
          <t>Pintura</t>
        </is>
      </c>
      <c r="E97" s="21" t="n">
        <v>287</v>
      </c>
      <c r="F97" s="21" t="n">
        <v>14</v>
      </c>
    </row>
    <row r="98">
      <c r="A98" s="23" t="n">
        <v>46149</v>
      </c>
      <c r="B98" s="21" t="inlineStr">
        <is>
          <t>LineaA03</t>
        </is>
      </c>
      <c r="C98" s="21" t="inlineStr">
        <is>
          <t>T1</t>
        </is>
      </c>
      <c r="D98" s="21" t="inlineStr">
        <is>
          <t>Pintura</t>
        </is>
      </c>
      <c r="E98" s="21" t="n">
        <v>214</v>
      </c>
      <c r="F98" s="21" t="n">
        <v>10</v>
      </c>
    </row>
    <row r="99">
      <c r="A99" s="23" t="n">
        <v>46149</v>
      </c>
      <c r="B99" s="21" t="inlineStr">
        <is>
          <t>LineaA03</t>
        </is>
      </c>
      <c r="C99" s="21" t="inlineStr">
        <is>
          <t>T2</t>
        </is>
      </c>
      <c r="D99" s="21" t="inlineStr">
        <is>
          <t>Funcional</t>
        </is>
      </c>
      <c r="E99" s="21" t="n">
        <v>513</v>
      </c>
      <c r="F99" s="21" t="n">
        <v>28</v>
      </c>
    </row>
    <row r="100">
      <c r="A100" s="23" t="n">
        <v>46149</v>
      </c>
      <c r="B100" s="21" t="inlineStr">
        <is>
          <t>LineaA03</t>
        </is>
      </c>
      <c r="C100" s="21" t="inlineStr">
        <is>
          <t>T3</t>
        </is>
      </c>
      <c r="D100" s="21" t="inlineStr">
        <is>
          <t>Funcional</t>
        </is>
      </c>
      <c r="E100" s="21" t="n">
        <v>442</v>
      </c>
      <c r="F100" s="21" t="n">
        <v>9</v>
      </c>
    </row>
    <row r="101">
      <c r="A101" s="23" t="n">
        <v>46149</v>
      </c>
      <c r="B101" s="21" t="inlineStr">
        <is>
          <t>LineaB07</t>
        </is>
      </c>
      <c r="C101" s="21" t="inlineStr">
        <is>
          <t>T1</t>
        </is>
      </c>
      <c r="D101" s="21" t="inlineStr">
        <is>
          <t>Pintura</t>
        </is>
      </c>
      <c r="E101" s="21" t="n">
        <v>480</v>
      </c>
      <c r="F101" s="21" t="n">
        <v>8</v>
      </c>
    </row>
    <row r="102">
      <c r="A102" s="23" t="n">
        <v>46149</v>
      </c>
      <c r="B102" s="21" t="inlineStr">
        <is>
          <t>LineaB07</t>
        </is>
      </c>
      <c r="C102" s="21" t="inlineStr">
        <is>
          <t>T2</t>
        </is>
      </c>
      <c r="D102" s="21" t="inlineStr">
        <is>
          <t>Soldadura</t>
        </is>
      </c>
      <c r="E102" s="21" t="n">
        <v>210</v>
      </c>
      <c r="F102" s="21" t="n">
        <v>14</v>
      </c>
    </row>
    <row r="103">
      <c r="A103" s="23" t="n">
        <v>46149</v>
      </c>
      <c r="B103" s="21" t="inlineStr">
        <is>
          <t>LineaB07</t>
        </is>
      </c>
      <c r="C103" s="21" t="inlineStr">
        <is>
          <t>T3</t>
        </is>
      </c>
      <c r="D103" s="21" t="inlineStr">
        <is>
          <t>Pintura</t>
        </is>
      </c>
      <c r="E103" s="21" t="n">
        <v>469</v>
      </c>
      <c r="F103" s="21" t="n">
        <v>15</v>
      </c>
    </row>
    <row r="104">
      <c r="A104" s="23" t="n">
        <v>46149</v>
      </c>
      <c r="B104" s="21" t="inlineStr">
        <is>
          <t>LineaC11</t>
        </is>
      </c>
      <c r="C104" s="21" t="inlineStr">
        <is>
          <t>T1</t>
        </is>
      </c>
      <c r="D104" s="21" t="inlineStr">
        <is>
          <t>Pintura</t>
        </is>
      </c>
      <c r="E104" s="21" t="n">
        <v>422</v>
      </c>
      <c r="F104" s="21" t="n">
        <v>16</v>
      </c>
    </row>
    <row r="105">
      <c r="A105" s="23" t="n">
        <v>46149</v>
      </c>
      <c r="B105" s="21" t="inlineStr">
        <is>
          <t>LineaC11</t>
        </is>
      </c>
      <c r="C105" s="21" t="inlineStr">
        <is>
          <t>T2</t>
        </is>
      </c>
      <c r="D105" s="21" t="inlineStr">
        <is>
          <t>Dimensional</t>
        </is>
      </c>
      <c r="E105" s="21" t="n">
        <v>214</v>
      </c>
      <c r="F105" s="21" t="n">
        <v>6</v>
      </c>
    </row>
    <row r="106">
      <c r="A106" s="23" t="n">
        <v>46149</v>
      </c>
      <c r="B106" s="21" t="inlineStr">
        <is>
          <t>LineaC11</t>
        </is>
      </c>
      <c r="C106" s="21" t="inlineStr">
        <is>
          <t>T3</t>
        </is>
      </c>
      <c r="D106" s="21" t="inlineStr">
        <is>
          <t>Funcional</t>
        </is>
      </c>
      <c r="E106" s="21" t="n">
        <v>308</v>
      </c>
      <c r="F106" s="21" t="n">
        <v>8</v>
      </c>
    </row>
    <row r="107">
      <c r="A107" s="23" t="n">
        <v>46149</v>
      </c>
      <c r="B107" s="21" t="inlineStr">
        <is>
          <t>LineaD22</t>
        </is>
      </c>
      <c r="C107" s="21" t="inlineStr">
        <is>
          <t>T1</t>
        </is>
      </c>
      <c r="D107" s="21" t="inlineStr">
        <is>
          <t>Dimensional</t>
        </is>
      </c>
      <c r="E107" s="21" t="n">
        <v>366</v>
      </c>
      <c r="F107" s="21" t="n">
        <v>14</v>
      </c>
    </row>
    <row r="108">
      <c r="A108" s="23" t="n">
        <v>46149</v>
      </c>
      <c r="B108" s="21" t="inlineStr">
        <is>
          <t>LineaD22</t>
        </is>
      </c>
      <c r="C108" s="21" t="inlineStr">
        <is>
          <t>T2</t>
        </is>
      </c>
      <c r="D108" s="21" t="inlineStr">
        <is>
          <t>Dimensional</t>
        </is>
      </c>
      <c r="E108" s="21" t="n">
        <v>478</v>
      </c>
      <c r="F108" s="21" t="n">
        <v>11</v>
      </c>
    </row>
    <row r="109">
      <c r="A109" s="23" t="n">
        <v>46149</v>
      </c>
      <c r="B109" s="21" t="inlineStr">
        <is>
          <t>LineaD22</t>
        </is>
      </c>
      <c r="C109" s="21" t="inlineStr">
        <is>
          <t>T3</t>
        </is>
      </c>
      <c r="D109" s="21" t="inlineStr">
        <is>
          <t>Funcional</t>
        </is>
      </c>
      <c r="E109" s="21" t="n">
        <v>434</v>
      </c>
      <c r="F109" s="21" t="n">
        <v>14</v>
      </c>
    </row>
    <row r="110">
      <c r="A110" s="23" t="n">
        <v>46149</v>
      </c>
      <c r="B110" s="21" t="inlineStr">
        <is>
          <t>LineaE05</t>
        </is>
      </c>
      <c r="C110" s="21" t="inlineStr">
        <is>
          <t>T1</t>
        </is>
      </c>
      <c r="D110" s="21" t="inlineStr">
        <is>
          <t>Funcional</t>
        </is>
      </c>
      <c r="E110" s="21" t="n">
        <v>464</v>
      </c>
      <c r="F110" s="21" t="n">
        <v>0</v>
      </c>
    </row>
    <row r="111">
      <c r="A111" s="23" t="n">
        <v>46149</v>
      </c>
      <c r="B111" s="21" t="inlineStr">
        <is>
          <t>LineaE05</t>
        </is>
      </c>
      <c r="C111" s="21" t="inlineStr">
        <is>
          <t>T2</t>
        </is>
      </c>
      <c r="D111" s="21" t="inlineStr">
        <is>
          <t>Funcional</t>
        </is>
      </c>
      <c r="E111" s="21" t="n">
        <v>266</v>
      </c>
      <c r="F111" s="21" t="n">
        <v>12</v>
      </c>
    </row>
    <row r="112">
      <c r="A112" s="23" t="n">
        <v>46149</v>
      </c>
      <c r="B112" s="21" t="inlineStr">
        <is>
          <t>LineaE05</t>
        </is>
      </c>
      <c r="C112" s="21" t="inlineStr">
        <is>
          <t>T3</t>
        </is>
      </c>
      <c r="D112" s="21" t="inlineStr">
        <is>
          <t>Visual</t>
        </is>
      </c>
      <c r="E112" s="21" t="n">
        <v>277</v>
      </c>
      <c r="F112" s="21" t="n">
        <v>7</v>
      </c>
    </row>
    <row r="113">
      <c r="A113" s="23" t="n">
        <v>46150</v>
      </c>
      <c r="B113" s="21" t="inlineStr">
        <is>
          <t>LineaA03</t>
        </is>
      </c>
      <c r="C113" s="21" t="inlineStr">
        <is>
          <t>T1</t>
        </is>
      </c>
      <c r="D113" s="21" t="inlineStr">
        <is>
          <t>Pintura</t>
        </is>
      </c>
      <c r="E113" s="21" t="n">
        <v>597</v>
      </c>
      <c r="F113" s="21" t="n">
        <v>17</v>
      </c>
    </row>
    <row r="114">
      <c r="A114" s="23" t="n">
        <v>46150</v>
      </c>
      <c r="B114" s="21" t="inlineStr">
        <is>
          <t>LineaA03</t>
        </is>
      </c>
      <c r="C114" s="21" t="inlineStr">
        <is>
          <t>T2</t>
        </is>
      </c>
      <c r="D114" s="21" t="inlineStr">
        <is>
          <t>Pintura</t>
        </is>
      </c>
      <c r="E114" s="21" t="n">
        <v>511</v>
      </c>
      <c r="F114" s="21" t="n">
        <v>29</v>
      </c>
    </row>
    <row r="115">
      <c r="A115" s="23" t="n">
        <v>46150</v>
      </c>
      <c r="B115" s="21" t="inlineStr">
        <is>
          <t>LineaA03</t>
        </is>
      </c>
      <c r="C115" s="21" t="inlineStr">
        <is>
          <t>T3</t>
        </is>
      </c>
      <c r="D115" s="21" t="inlineStr">
        <is>
          <t>Visual</t>
        </is>
      </c>
      <c r="E115" s="21" t="n">
        <v>272</v>
      </c>
      <c r="F115" s="21" t="n">
        <v>8</v>
      </c>
    </row>
    <row r="116">
      <c r="A116" s="23" t="n">
        <v>46150</v>
      </c>
      <c r="B116" s="21" t="inlineStr">
        <is>
          <t>LineaB07</t>
        </is>
      </c>
      <c r="C116" s="21" t="inlineStr">
        <is>
          <t>T1</t>
        </is>
      </c>
      <c r="D116" s="21" t="inlineStr">
        <is>
          <t>Dimensional</t>
        </is>
      </c>
      <c r="E116" s="21" t="n">
        <v>516</v>
      </c>
      <c r="F116" s="21" t="n">
        <v>13</v>
      </c>
    </row>
    <row r="117">
      <c r="A117" s="23" t="n">
        <v>46150</v>
      </c>
      <c r="B117" s="21" t="inlineStr">
        <is>
          <t>LineaB07</t>
        </is>
      </c>
      <c r="C117" s="21" t="inlineStr">
        <is>
          <t>T2</t>
        </is>
      </c>
      <c r="D117" s="21" t="inlineStr">
        <is>
          <t>Funcional</t>
        </is>
      </c>
      <c r="E117" s="21" t="n">
        <v>549</v>
      </c>
      <c r="F117" s="21" t="n">
        <v>6</v>
      </c>
    </row>
    <row r="118">
      <c r="A118" s="23" t="n">
        <v>46150</v>
      </c>
      <c r="B118" s="21" t="inlineStr">
        <is>
          <t>LineaB07</t>
        </is>
      </c>
      <c r="C118" s="21" t="inlineStr">
        <is>
          <t>T3</t>
        </is>
      </c>
      <c r="D118" s="21" t="inlineStr">
        <is>
          <t>Soldadura</t>
        </is>
      </c>
      <c r="E118" s="21" t="n">
        <v>471</v>
      </c>
      <c r="F118" s="21" t="n">
        <v>2</v>
      </c>
    </row>
    <row r="119">
      <c r="A119" s="23" t="n">
        <v>46150</v>
      </c>
      <c r="B119" s="21" t="inlineStr">
        <is>
          <t>LineaC11</t>
        </is>
      </c>
      <c r="C119" s="21" t="inlineStr">
        <is>
          <t>T1</t>
        </is>
      </c>
      <c r="D119" s="21" t="inlineStr">
        <is>
          <t>Soldadura</t>
        </is>
      </c>
      <c r="E119" s="21" t="n">
        <v>486</v>
      </c>
      <c r="F119" s="21" t="n">
        <v>10</v>
      </c>
    </row>
    <row r="120">
      <c r="A120" s="23" t="n">
        <v>46150</v>
      </c>
      <c r="B120" s="21" t="inlineStr">
        <is>
          <t>LineaC11</t>
        </is>
      </c>
      <c r="C120" s="21" t="inlineStr">
        <is>
          <t>T2</t>
        </is>
      </c>
      <c r="D120" s="21" t="inlineStr">
        <is>
          <t>Soldadura</t>
        </is>
      </c>
      <c r="E120" s="21" t="n">
        <v>327</v>
      </c>
      <c r="F120" s="21" t="n">
        <v>10</v>
      </c>
    </row>
    <row r="121">
      <c r="A121" s="23" t="n">
        <v>46150</v>
      </c>
      <c r="B121" s="21" t="inlineStr">
        <is>
          <t>LineaC11</t>
        </is>
      </c>
      <c r="C121" s="21" t="inlineStr">
        <is>
          <t>T3</t>
        </is>
      </c>
      <c r="D121" s="21" t="inlineStr">
        <is>
          <t>Visual</t>
        </is>
      </c>
      <c r="E121" s="21" t="n">
        <v>459</v>
      </c>
      <c r="F121" s="21" t="n">
        <v>15</v>
      </c>
    </row>
    <row r="122">
      <c r="A122" s="23" t="n">
        <v>46150</v>
      </c>
      <c r="B122" s="21" t="inlineStr">
        <is>
          <t>LineaD22</t>
        </is>
      </c>
      <c r="C122" s="21" t="inlineStr">
        <is>
          <t>T1</t>
        </is>
      </c>
      <c r="D122" s="21" t="inlineStr">
        <is>
          <t>Soldadura</t>
        </is>
      </c>
      <c r="E122" s="21" t="n">
        <v>487</v>
      </c>
      <c r="F122" s="21" t="n">
        <v>29</v>
      </c>
    </row>
    <row r="123">
      <c r="A123" s="23" t="n">
        <v>46150</v>
      </c>
      <c r="B123" s="21" t="inlineStr">
        <is>
          <t>LineaD22</t>
        </is>
      </c>
      <c r="C123" s="21" t="inlineStr">
        <is>
          <t>T2</t>
        </is>
      </c>
      <c r="D123" s="21" t="inlineStr">
        <is>
          <t>Dimensional</t>
        </is>
      </c>
      <c r="E123" s="21" t="n">
        <v>426</v>
      </c>
      <c r="F123" s="21" t="n">
        <v>15</v>
      </c>
    </row>
    <row r="124">
      <c r="A124" s="23" t="n">
        <v>46150</v>
      </c>
      <c r="B124" s="21" t="inlineStr">
        <is>
          <t>LineaD22</t>
        </is>
      </c>
      <c r="C124" s="21" t="inlineStr">
        <is>
          <t>T3</t>
        </is>
      </c>
      <c r="D124" s="21" t="inlineStr">
        <is>
          <t>Pintura</t>
        </is>
      </c>
      <c r="E124" s="21" t="n">
        <v>513</v>
      </c>
      <c r="F124" s="21" t="n">
        <v>25</v>
      </c>
    </row>
    <row r="125">
      <c r="A125" s="23" t="n">
        <v>46150</v>
      </c>
      <c r="B125" s="21" t="inlineStr">
        <is>
          <t>LineaE05</t>
        </is>
      </c>
      <c r="C125" s="21" t="inlineStr">
        <is>
          <t>T1</t>
        </is>
      </c>
      <c r="D125" s="21" t="inlineStr">
        <is>
          <t>Dimensional</t>
        </is>
      </c>
      <c r="E125" s="21" t="n">
        <v>554</v>
      </c>
      <c r="F125" s="21" t="n">
        <v>14</v>
      </c>
    </row>
    <row r="126">
      <c r="A126" s="23" t="n">
        <v>46150</v>
      </c>
      <c r="B126" s="21" t="inlineStr">
        <is>
          <t>LineaE05</t>
        </is>
      </c>
      <c r="C126" s="21" t="inlineStr">
        <is>
          <t>T2</t>
        </is>
      </c>
      <c r="D126" s="21" t="inlineStr">
        <is>
          <t>Funcional</t>
        </is>
      </c>
      <c r="E126" s="21" t="n">
        <v>431</v>
      </c>
      <c r="F126" s="21" t="n">
        <v>1</v>
      </c>
    </row>
    <row r="127">
      <c r="A127" s="23" t="n">
        <v>46150</v>
      </c>
      <c r="B127" s="21" t="inlineStr">
        <is>
          <t>LineaE05</t>
        </is>
      </c>
      <c r="C127" s="21" t="inlineStr">
        <is>
          <t>T3</t>
        </is>
      </c>
      <c r="D127" s="21" t="inlineStr">
        <is>
          <t>Funcional</t>
        </is>
      </c>
      <c r="E127" s="21" t="n">
        <v>326</v>
      </c>
      <c r="F127" s="21" t="n">
        <v>9</v>
      </c>
    </row>
    <row r="128">
      <c r="A128" s="23" t="n">
        <v>46151</v>
      </c>
      <c r="B128" s="21" t="inlineStr">
        <is>
          <t>LineaA03</t>
        </is>
      </c>
      <c r="C128" s="21" t="inlineStr">
        <is>
          <t>T1</t>
        </is>
      </c>
      <c r="D128" s="21" t="inlineStr">
        <is>
          <t>Pintura</t>
        </is>
      </c>
      <c r="E128" s="21" t="n">
        <v>332</v>
      </c>
      <c r="F128" s="21" t="n">
        <v>19</v>
      </c>
    </row>
    <row r="129">
      <c r="A129" s="23" t="n">
        <v>46151</v>
      </c>
      <c r="B129" s="21" t="inlineStr">
        <is>
          <t>LineaA03</t>
        </is>
      </c>
      <c r="C129" s="21" t="inlineStr">
        <is>
          <t>T2</t>
        </is>
      </c>
      <c r="D129" s="21" t="inlineStr">
        <is>
          <t>Pintura</t>
        </is>
      </c>
      <c r="E129" s="21" t="n">
        <v>429</v>
      </c>
      <c r="F129" s="21" t="n">
        <v>6</v>
      </c>
    </row>
    <row r="130">
      <c r="A130" s="23" t="n">
        <v>46151</v>
      </c>
      <c r="B130" s="21" t="inlineStr">
        <is>
          <t>LineaA03</t>
        </is>
      </c>
      <c r="C130" s="21" t="inlineStr">
        <is>
          <t>T3</t>
        </is>
      </c>
      <c r="D130" s="21" t="inlineStr">
        <is>
          <t>Soldadura</t>
        </is>
      </c>
      <c r="E130" s="21" t="n">
        <v>413</v>
      </c>
      <c r="F130" s="21" t="n">
        <v>17</v>
      </c>
    </row>
    <row r="131">
      <c r="A131" s="23" t="n">
        <v>46151</v>
      </c>
      <c r="B131" s="21" t="inlineStr">
        <is>
          <t>LineaB07</t>
        </is>
      </c>
      <c r="C131" s="21" t="inlineStr">
        <is>
          <t>T1</t>
        </is>
      </c>
      <c r="D131" s="21" t="inlineStr">
        <is>
          <t>Pintura</t>
        </is>
      </c>
      <c r="E131" s="21" t="n">
        <v>543</v>
      </c>
      <c r="F131" s="21" t="n">
        <v>22</v>
      </c>
    </row>
    <row r="132">
      <c r="A132" s="23" t="n">
        <v>46151</v>
      </c>
      <c r="B132" s="21" t="inlineStr">
        <is>
          <t>LineaB07</t>
        </is>
      </c>
      <c r="C132" s="21" t="inlineStr">
        <is>
          <t>T2</t>
        </is>
      </c>
      <c r="D132" s="21" t="inlineStr">
        <is>
          <t>Soldadura</t>
        </is>
      </c>
      <c r="E132" s="21" t="n">
        <v>419</v>
      </c>
      <c r="F132" s="21" t="n">
        <v>20</v>
      </c>
    </row>
    <row r="133">
      <c r="A133" s="23" t="n">
        <v>46151</v>
      </c>
      <c r="B133" s="21" t="inlineStr">
        <is>
          <t>LineaB07</t>
        </is>
      </c>
      <c r="C133" s="21" t="inlineStr">
        <is>
          <t>T3</t>
        </is>
      </c>
      <c r="D133" s="21" t="inlineStr">
        <is>
          <t>Pintura</t>
        </is>
      </c>
      <c r="E133" s="21" t="n">
        <v>597</v>
      </c>
      <c r="F133" s="21" t="n">
        <v>23</v>
      </c>
    </row>
    <row r="134">
      <c r="A134" s="23" t="n">
        <v>46151</v>
      </c>
      <c r="B134" s="21" t="inlineStr">
        <is>
          <t>LineaC11</t>
        </is>
      </c>
      <c r="C134" s="21" t="inlineStr">
        <is>
          <t>T1</t>
        </is>
      </c>
      <c r="D134" s="21" t="inlineStr">
        <is>
          <t>Dimensional</t>
        </is>
      </c>
      <c r="E134" s="21" t="n">
        <v>566</v>
      </c>
      <c r="F134" s="21" t="n">
        <v>11</v>
      </c>
    </row>
    <row r="135">
      <c r="A135" s="23" t="n">
        <v>46151</v>
      </c>
      <c r="B135" s="21" t="inlineStr">
        <is>
          <t>LineaC11</t>
        </is>
      </c>
      <c r="C135" s="21" t="inlineStr">
        <is>
          <t>T2</t>
        </is>
      </c>
      <c r="D135" s="21" t="inlineStr">
        <is>
          <t>Visual</t>
        </is>
      </c>
      <c r="E135" s="21" t="n">
        <v>270</v>
      </c>
      <c r="F135" s="21" t="n">
        <v>5</v>
      </c>
    </row>
    <row r="136">
      <c r="A136" s="23" t="n">
        <v>46151</v>
      </c>
      <c r="B136" s="21" t="inlineStr">
        <is>
          <t>LineaC11</t>
        </is>
      </c>
      <c r="C136" s="21" t="inlineStr">
        <is>
          <t>T3</t>
        </is>
      </c>
      <c r="D136" s="21" t="inlineStr">
        <is>
          <t>Visual</t>
        </is>
      </c>
      <c r="E136" s="21" t="n">
        <v>312</v>
      </c>
      <c r="F136" s="21" t="n">
        <v>9</v>
      </c>
    </row>
    <row r="137">
      <c r="A137" s="23" t="n">
        <v>46151</v>
      </c>
      <c r="B137" s="21" t="inlineStr">
        <is>
          <t>LineaD22</t>
        </is>
      </c>
      <c r="C137" s="21" t="inlineStr">
        <is>
          <t>T1</t>
        </is>
      </c>
      <c r="D137" s="21" t="inlineStr">
        <is>
          <t>Pintura</t>
        </is>
      </c>
      <c r="E137" s="21" t="n">
        <v>283</v>
      </c>
      <c r="F137" s="21" t="n">
        <v>6</v>
      </c>
    </row>
    <row r="138">
      <c r="A138" s="23" t="n">
        <v>46151</v>
      </c>
      <c r="B138" s="21" t="inlineStr">
        <is>
          <t>LineaD22</t>
        </is>
      </c>
      <c r="C138" s="21" t="inlineStr">
        <is>
          <t>T2</t>
        </is>
      </c>
      <c r="D138" s="21" t="inlineStr">
        <is>
          <t>Visual</t>
        </is>
      </c>
      <c r="E138" s="21" t="n">
        <v>282</v>
      </c>
      <c r="F138" s="21" t="n">
        <v>4</v>
      </c>
    </row>
    <row r="139">
      <c r="A139" s="23" t="n">
        <v>46151</v>
      </c>
      <c r="B139" s="21" t="inlineStr">
        <is>
          <t>LineaD22</t>
        </is>
      </c>
      <c r="C139" s="21" t="inlineStr">
        <is>
          <t>T3</t>
        </is>
      </c>
      <c r="D139" s="21" t="inlineStr">
        <is>
          <t>Visual</t>
        </is>
      </c>
      <c r="E139" s="21" t="n">
        <v>373</v>
      </c>
      <c r="F139" s="21" t="n">
        <v>0</v>
      </c>
    </row>
    <row r="140">
      <c r="A140" s="23" t="n">
        <v>46151</v>
      </c>
      <c r="B140" s="21" t="inlineStr">
        <is>
          <t>LineaE05</t>
        </is>
      </c>
      <c r="C140" s="21" t="inlineStr">
        <is>
          <t>T1</t>
        </is>
      </c>
      <c r="D140" s="21" t="inlineStr">
        <is>
          <t>Dimensional</t>
        </is>
      </c>
      <c r="E140" s="21" t="n">
        <v>300</v>
      </c>
      <c r="F140" s="21" t="n">
        <v>7</v>
      </c>
    </row>
    <row r="141">
      <c r="A141" s="23" t="n">
        <v>46151</v>
      </c>
      <c r="B141" s="21" t="inlineStr">
        <is>
          <t>LineaE05</t>
        </is>
      </c>
      <c r="C141" s="21" t="inlineStr">
        <is>
          <t>T2</t>
        </is>
      </c>
      <c r="D141" s="21" t="inlineStr">
        <is>
          <t>Dimensional</t>
        </is>
      </c>
      <c r="E141" s="21" t="n">
        <v>209</v>
      </c>
      <c r="F141" s="21" t="n">
        <v>7</v>
      </c>
    </row>
    <row r="142">
      <c r="A142" s="23" t="n">
        <v>46151</v>
      </c>
      <c r="B142" s="21" t="inlineStr">
        <is>
          <t>LineaE05</t>
        </is>
      </c>
      <c r="C142" s="21" t="inlineStr">
        <is>
          <t>T3</t>
        </is>
      </c>
      <c r="D142" s="21" t="inlineStr">
        <is>
          <t>Visual</t>
        </is>
      </c>
      <c r="E142" s="21" t="n">
        <v>483</v>
      </c>
      <c r="F142" s="21" t="n">
        <v>3</v>
      </c>
    </row>
    <row r="143">
      <c r="A143" s="23" t="n">
        <v>46152</v>
      </c>
      <c r="B143" s="21" t="inlineStr">
        <is>
          <t>LineaA03</t>
        </is>
      </c>
      <c r="C143" s="21" t="inlineStr">
        <is>
          <t>T1</t>
        </is>
      </c>
      <c r="D143" s="21" t="inlineStr">
        <is>
          <t>Funcional</t>
        </is>
      </c>
      <c r="E143" s="21" t="n">
        <v>369</v>
      </c>
      <c r="F143" s="21" t="n">
        <v>13</v>
      </c>
    </row>
    <row r="144">
      <c r="A144" s="23" t="n">
        <v>46152</v>
      </c>
      <c r="B144" s="21" t="inlineStr">
        <is>
          <t>LineaA03</t>
        </is>
      </c>
      <c r="C144" s="21" t="inlineStr">
        <is>
          <t>T2</t>
        </is>
      </c>
      <c r="D144" s="21" t="inlineStr">
        <is>
          <t>Soldadura</t>
        </is>
      </c>
      <c r="E144" s="21" t="n">
        <v>519</v>
      </c>
      <c r="F144" s="21" t="n">
        <v>9</v>
      </c>
    </row>
    <row r="145">
      <c r="A145" s="23" t="n">
        <v>46152</v>
      </c>
      <c r="B145" s="21" t="inlineStr">
        <is>
          <t>LineaA03</t>
        </is>
      </c>
      <c r="C145" s="21" t="inlineStr">
        <is>
          <t>T3</t>
        </is>
      </c>
      <c r="D145" s="21" t="inlineStr">
        <is>
          <t>Soldadura</t>
        </is>
      </c>
      <c r="E145" s="21" t="n">
        <v>317</v>
      </c>
      <c r="F145" s="21" t="n">
        <v>21</v>
      </c>
    </row>
    <row r="146">
      <c r="A146" s="23" t="n">
        <v>46152</v>
      </c>
      <c r="B146" s="21" t="inlineStr">
        <is>
          <t>LineaB07</t>
        </is>
      </c>
      <c r="C146" s="21" t="inlineStr">
        <is>
          <t>T1</t>
        </is>
      </c>
      <c r="D146" s="21" t="inlineStr">
        <is>
          <t>Pintura</t>
        </is>
      </c>
      <c r="E146" s="21" t="n">
        <v>243</v>
      </c>
      <c r="F146" s="21" t="n">
        <v>7</v>
      </c>
    </row>
    <row r="147">
      <c r="A147" s="23" t="n">
        <v>46152</v>
      </c>
      <c r="B147" s="21" t="inlineStr">
        <is>
          <t>LineaB07</t>
        </is>
      </c>
      <c r="C147" s="21" t="inlineStr">
        <is>
          <t>T2</t>
        </is>
      </c>
      <c r="D147" s="21" t="inlineStr">
        <is>
          <t>Pintura</t>
        </is>
      </c>
      <c r="E147" s="21" t="n">
        <v>338</v>
      </c>
      <c r="F147" s="21" t="n">
        <v>11</v>
      </c>
    </row>
    <row r="148">
      <c r="A148" s="23" t="n">
        <v>46152</v>
      </c>
      <c r="B148" s="21" t="inlineStr">
        <is>
          <t>LineaB07</t>
        </is>
      </c>
      <c r="C148" s="21" t="inlineStr">
        <is>
          <t>T3</t>
        </is>
      </c>
      <c r="D148" s="21" t="inlineStr">
        <is>
          <t>Dimensional</t>
        </is>
      </c>
      <c r="E148" s="21" t="n">
        <v>416</v>
      </c>
      <c r="F148" s="21" t="n">
        <v>17</v>
      </c>
    </row>
    <row r="149">
      <c r="A149" s="23" t="n">
        <v>46152</v>
      </c>
      <c r="B149" s="21" t="inlineStr">
        <is>
          <t>LineaC11</t>
        </is>
      </c>
      <c r="C149" s="21" t="inlineStr">
        <is>
          <t>T1</t>
        </is>
      </c>
      <c r="D149" s="21" t="inlineStr">
        <is>
          <t>Pintura</t>
        </is>
      </c>
      <c r="E149" s="21" t="n">
        <v>407</v>
      </c>
      <c r="F149" s="21" t="n">
        <v>4</v>
      </c>
    </row>
    <row r="150">
      <c r="A150" s="23" t="n">
        <v>46152</v>
      </c>
      <c r="B150" s="21" t="inlineStr">
        <is>
          <t>LineaC11</t>
        </is>
      </c>
      <c r="C150" s="21" t="inlineStr">
        <is>
          <t>T2</t>
        </is>
      </c>
      <c r="D150" s="21" t="inlineStr">
        <is>
          <t>Dimensional</t>
        </is>
      </c>
      <c r="E150" s="21" t="n">
        <v>474</v>
      </c>
      <c r="F150" s="21" t="n">
        <v>22</v>
      </c>
    </row>
    <row r="151">
      <c r="A151" s="23" t="n">
        <v>46152</v>
      </c>
      <c r="B151" s="21" t="inlineStr">
        <is>
          <t>LineaC11</t>
        </is>
      </c>
      <c r="C151" s="21" t="inlineStr">
        <is>
          <t>T3</t>
        </is>
      </c>
      <c r="D151" s="21" t="inlineStr">
        <is>
          <t>Dimensional</t>
        </is>
      </c>
      <c r="E151" s="21" t="n">
        <v>245</v>
      </c>
      <c r="F151" s="21" t="n">
        <v>5</v>
      </c>
    </row>
    <row r="152">
      <c r="A152" s="23" t="n">
        <v>46152</v>
      </c>
      <c r="B152" s="21" t="inlineStr">
        <is>
          <t>LineaD22</t>
        </is>
      </c>
      <c r="C152" s="21" t="inlineStr">
        <is>
          <t>T1</t>
        </is>
      </c>
      <c r="D152" s="21" t="inlineStr">
        <is>
          <t>Soldadura</t>
        </is>
      </c>
      <c r="E152" s="21" t="n">
        <v>229</v>
      </c>
      <c r="F152" s="21" t="n">
        <v>7</v>
      </c>
    </row>
    <row r="153">
      <c r="A153" s="23" t="n">
        <v>46152</v>
      </c>
      <c r="B153" s="21" t="inlineStr">
        <is>
          <t>LineaD22</t>
        </is>
      </c>
      <c r="C153" s="21" t="inlineStr">
        <is>
          <t>T2</t>
        </is>
      </c>
      <c r="D153" s="21" t="inlineStr">
        <is>
          <t>Soldadura</t>
        </is>
      </c>
      <c r="E153" s="21" t="n">
        <v>337</v>
      </c>
      <c r="F153" s="21" t="n">
        <v>7</v>
      </c>
    </row>
    <row r="154">
      <c r="A154" s="23" t="n">
        <v>46152</v>
      </c>
      <c r="B154" s="21" t="inlineStr">
        <is>
          <t>LineaD22</t>
        </is>
      </c>
      <c r="C154" s="21" t="inlineStr">
        <is>
          <t>T3</t>
        </is>
      </c>
      <c r="D154" s="21" t="inlineStr">
        <is>
          <t>Funcional</t>
        </is>
      </c>
      <c r="E154" s="21" t="n">
        <v>524</v>
      </c>
      <c r="F154" s="21" t="n">
        <v>20</v>
      </c>
    </row>
    <row r="155">
      <c r="A155" s="23" t="n">
        <v>46152</v>
      </c>
      <c r="B155" s="21" t="inlineStr">
        <is>
          <t>LineaE05</t>
        </is>
      </c>
      <c r="C155" s="21" t="inlineStr">
        <is>
          <t>T1</t>
        </is>
      </c>
      <c r="D155" s="21" t="inlineStr">
        <is>
          <t>Soldadura</t>
        </is>
      </c>
      <c r="E155" s="21" t="n">
        <v>313</v>
      </c>
      <c r="F155" s="21" t="n">
        <v>11</v>
      </c>
    </row>
    <row r="156">
      <c r="A156" s="23" t="n">
        <v>46152</v>
      </c>
      <c r="B156" s="21" t="inlineStr">
        <is>
          <t>LineaE05</t>
        </is>
      </c>
      <c r="C156" s="21" t="inlineStr">
        <is>
          <t>T2</t>
        </is>
      </c>
      <c r="D156" s="21" t="inlineStr">
        <is>
          <t>Dimensional</t>
        </is>
      </c>
      <c r="E156" s="21" t="n">
        <v>335</v>
      </c>
      <c r="F156" s="21" t="n">
        <v>13</v>
      </c>
    </row>
    <row r="157">
      <c r="A157" s="23" t="n">
        <v>46152</v>
      </c>
      <c r="B157" s="21" t="inlineStr">
        <is>
          <t>LineaE05</t>
        </is>
      </c>
      <c r="C157" s="21" t="inlineStr">
        <is>
          <t>T3</t>
        </is>
      </c>
      <c r="D157" s="21" t="inlineStr">
        <is>
          <t>Visual</t>
        </is>
      </c>
      <c r="E157" s="21" t="n">
        <v>483</v>
      </c>
      <c r="F157" s="21" t="n">
        <v>8</v>
      </c>
    </row>
    <row r="158">
      <c r="A158" s="23" t="n">
        <v>46153</v>
      </c>
      <c r="B158" s="21" t="inlineStr">
        <is>
          <t>LineaA03</t>
        </is>
      </c>
      <c r="C158" s="21" t="inlineStr">
        <is>
          <t>T1</t>
        </is>
      </c>
      <c r="D158" s="21" t="inlineStr">
        <is>
          <t>Pintura</t>
        </is>
      </c>
      <c r="E158" s="21" t="n">
        <v>337</v>
      </c>
      <c r="F158" s="21" t="n">
        <v>9</v>
      </c>
    </row>
    <row r="159">
      <c r="A159" s="23" t="n">
        <v>46153</v>
      </c>
      <c r="B159" s="21" t="inlineStr">
        <is>
          <t>LineaA03</t>
        </is>
      </c>
      <c r="C159" s="21" t="inlineStr">
        <is>
          <t>T2</t>
        </is>
      </c>
      <c r="D159" s="21" t="inlineStr">
        <is>
          <t>Pintura</t>
        </is>
      </c>
      <c r="E159" s="21" t="n">
        <v>256</v>
      </c>
      <c r="F159" s="21" t="n">
        <v>6</v>
      </c>
    </row>
    <row r="160">
      <c r="A160" s="23" t="n">
        <v>46153</v>
      </c>
      <c r="B160" s="21" t="inlineStr">
        <is>
          <t>LineaA03</t>
        </is>
      </c>
      <c r="C160" s="21" t="inlineStr">
        <is>
          <t>T3</t>
        </is>
      </c>
      <c r="D160" s="21" t="inlineStr">
        <is>
          <t>Dimensional</t>
        </is>
      </c>
      <c r="E160" s="21" t="n">
        <v>334</v>
      </c>
      <c r="F160" s="21" t="n">
        <v>13</v>
      </c>
    </row>
    <row r="161">
      <c r="A161" s="23" t="n">
        <v>46153</v>
      </c>
      <c r="B161" s="21" t="inlineStr">
        <is>
          <t>LineaB07</t>
        </is>
      </c>
      <c r="C161" s="21" t="inlineStr">
        <is>
          <t>T1</t>
        </is>
      </c>
      <c r="D161" s="21" t="inlineStr">
        <is>
          <t>Dimensional</t>
        </is>
      </c>
      <c r="E161" s="21" t="n">
        <v>521</v>
      </c>
      <c r="F161" s="21" t="n">
        <v>17</v>
      </c>
    </row>
    <row r="162">
      <c r="A162" s="23" t="n">
        <v>46153</v>
      </c>
      <c r="B162" s="21" t="inlineStr">
        <is>
          <t>LineaB07</t>
        </is>
      </c>
      <c r="C162" s="21" t="inlineStr">
        <is>
          <t>T2</t>
        </is>
      </c>
      <c r="D162" s="21" t="inlineStr">
        <is>
          <t>Funcional</t>
        </is>
      </c>
      <c r="E162" s="21" t="n">
        <v>471</v>
      </c>
      <c r="F162" s="21" t="n">
        <v>14</v>
      </c>
    </row>
    <row r="163">
      <c r="A163" s="23" t="n">
        <v>46153</v>
      </c>
      <c r="B163" s="21" t="inlineStr">
        <is>
          <t>LineaB07</t>
        </is>
      </c>
      <c r="C163" s="21" t="inlineStr">
        <is>
          <t>T3</t>
        </is>
      </c>
      <c r="D163" s="21" t="inlineStr">
        <is>
          <t>Pintura</t>
        </is>
      </c>
      <c r="E163" s="21" t="n">
        <v>544</v>
      </c>
      <c r="F163" s="21" t="n">
        <v>9</v>
      </c>
    </row>
    <row r="164">
      <c r="A164" s="23" t="n">
        <v>46153</v>
      </c>
      <c r="B164" s="21" t="inlineStr">
        <is>
          <t>LineaC11</t>
        </is>
      </c>
      <c r="C164" s="21" t="inlineStr">
        <is>
          <t>T1</t>
        </is>
      </c>
      <c r="D164" s="21" t="inlineStr">
        <is>
          <t>Dimensional</t>
        </is>
      </c>
      <c r="E164" s="21" t="n">
        <v>338</v>
      </c>
      <c r="F164" s="21" t="n">
        <v>9</v>
      </c>
    </row>
    <row r="165">
      <c r="A165" s="23" t="n">
        <v>46153</v>
      </c>
      <c r="B165" s="21" t="inlineStr">
        <is>
          <t>LineaC11</t>
        </is>
      </c>
      <c r="C165" s="21" t="inlineStr">
        <is>
          <t>T2</t>
        </is>
      </c>
      <c r="D165" s="21" t="inlineStr">
        <is>
          <t>Soldadura</t>
        </is>
      </c>
      <c r="E165" s="21" t="n">
        <v>218</v>
      </c>
      <c r="F165" s="21" t="n">
        <v>7</v>
      </c>
    </row>
    <row r="166">
      <c r="A166" s="23" t="n">
        <v>46153</v>
      </c>
      <c r="B166" s="21" t="inlineStr">
        <is>
          <t>LineaC11</t>
        </is>
      </c>
      <c r="C166" s="21" t="inlineStr">
        <is>
          <t>T3</t>
        </is>
      </c>
      <c r="D166" s="21" t="inlineStr">
        <is>
          <t>Pintura</t>
        </is>
      </c>
      <c r="E166" s="21" t="n">
        <v>209</v>
      </c>
      <c r="F166" s="21" t="n">
        <v>5</v>
      </c>
    </row>
    <row r="167">
      <c r="A167" s="23" t="n">
        <v>46153</v>
      </c>
      <c r="B167" s="21" t="inlineStr">
        <is>
          <t>LineaD22</t>
        </is>
      </c>
      <c r="C167" s="21" t="inlineStr">
        <is>
          <t>T1</t>
        </is>
      </c>
      <c r="D167" s="21" t="inlineStr">
        <is>
          <t>Visual</t>
        </is>
      </c>
      <c r="E167" s="21" t="n">
        <v>463</v>
      </c>
      <c r="F167" s="21" t="n">
        <v>5</v>
      </c>
    </row>
    <row r="168">
      <c r="A168" s="23" t="n">
        <v>46153</v>
      </c>
      <c r="B168" s="21" t="inlineStr">
        <is>
          <t>LineaD22</t>
        </is>
      </c>
      <c r="C168" s="21" t="inlineStr">
        <is>
          <t>T2</t>
        </is>
      </c>
      <c r="D168" s="21" t="inlineStr">
        <is>
          <t>Visual</t>
        </is>
      </c>
      <c r="E168" s="21" t="n">
        <v>325</v>
      </c>
      <c r="F168" s="21" t="n">
        <v>11</v>
      </c>
    </row>
    <row r="169">
      <c r="A169" s="23" t="n">
        <v>46153</v>
      </c>
      <c r="B169" s="21" t="inlineStr">
        <is>
          <t>LineaD22</t>
        </is>
      </c>
      <c r="C169" s="21" t="inlineStr">
        <is>
          <t>T3</t>
        </is>
      </c>
      <c r="D169" s="21" t="inlineStr">
        <is>
          <t>Visual</t>
        </is>
      </c>
      <c r="E169" s="21" t="n">
        <v>536</v>
      </c>
      <c r="F169" s="21" t="n">
        <v>14</v>
      </c>
    </row>
    <row r="170">
      <c r="A170" s="23" t="n">
        <v>46153</v>
      </c>
      <c r="B170" s="21" t="inlineStr">
        <is>
          <t>LineaE05</t>
        </is>
      </c>
      <c r="C170" s="21" t="inlineStr">
        <is>
          <t>T1</t>
        </is>
      </c>
      <c r="D170" s="21" t="inlineStr">
        <is>
          <t>Funcional</t>
        </is>
      </c>
      <c r="E170" s="21" t="n">
        <v>479</v>
      </c>
      <c r="F170" s="21" t="n">
        <v>18</v>
      </c>
    </row>
    <row r="171">
      <c r="A171" s="23" t="n">
        <v>46153</v>
      </c>
      <c r="B171" s="21" t="inlineStr">
        <is>
          <t>LineaE05</t>
        </is>
      </c>
      <c r="C171" s="21" t="inlineStr">
        <is>
          <t>T2</t>
        </is>
      </c>
      <c r="D171" s="21" t="inlineStr">
        <is>
          <t>Pintura</t>
        </is>
      </c>
      <c r="E171" s="21" t="n">
        <v>357</v>
      </c>
      <c r="F171" s="21" t="n">
        <v>6</v>
      </c>
    </row>
    <row r="172">
      <c r="A172" s="23" t="n">
        <v>46153</v>
      </c>
      <c r="B172" s="21" t="inlineStr">
        <is>
          <t>LineaE05</t>
        </is>
      </c>
      <c r="C172" s="21" t="inlineStr">
        <is>
          <t>T3</t>
        </is>
      </c>
      <c r="D172" s="21" t="inlineStr">
        <is>
          <t>Pintura</t>
        </is>
      </c>
      <c r="E172" s="21" t="n">
        <v>317</v>
      </c>
      <c r="F172" s="21" t="n">
        <v>4</v>
      </c>
    </row>
    <row r="173">
      <c r="A173" s="23" t="n">
        <v>46154</v>
      </c>
      <c r="B173" s="21" t="inlineStr">
        <is>
          <t>LineaA03</t>
        </is>
      </c>
      <c r="C173" s="21" t="inlineStr">
        <is>
          <t>T1</t>
        </is>
      </c>
      <c r="D173" s="21" t="inlineStr">
        <is>
          <t>Dimensional</t>
        </is>
      </c>
      <c r="E173" s="21" t="n">
        <v>407</v>
      </c>
      <c r="F173" s="21" t="n">
        <v>21</v>
      </c>
    </row>
    <row r="174">
      <c r="A174" s="23" t="n">
        <v>46154</v>
      </c>
      <c r="B174" s="21" t="inlineStr">
        <is>
          <t>LineaA03</t>
        </is>
      </c>
      <c r="C174" s="21" t="inlineStr">
        <is>
          <t>T2</t>
        </is>
      </c>
      <c r="D174" s="21" t="inlineStr">
        <is>
          <t>Dimensional</t>
        </is>
      </c>
      <c r="E174" s="21" t="n">
        <v>227</v>
      </c>
      <c r="F174" s="21" t="n">
        <v>7</v>
      </c>
    </row>
    <row r="175">
      <c r="A175" s="23" t="n">
        <v>46154</v>
      </c>
      <c r="B175" s="21" t="inlineStr">
        <is>
          <t>LineaA03</t>
        </is>
      </c>
      <c r="C175" s="21" t="inlineStr">
        <is>
          <t>T3</t>
        </is>
      </c>
      <c r="D175" s="21" t="inlineStr">
        <is>
          <t>Pintura</t>
        </is>
      </c>
      <c r="E175" s="21" t="n">
        <v>420</v>
      </c>
      <c r="F175" s="21" t="n">
        <v>11</v>
      </c>
    </row>
    <row r="176">
      <c r="A176" s="23" t="n">
        <v>46154</v>
      </c>
      <c r="B176" s="21" t="inlineStr">
        <is>
          <t>LineaB07</t>
        </is>
      </c>
      <c r="C176" s="21" t="inlineStr">
        <is>
          <t>T1</t>
        </is>
      </c>
      <c r="D176" s="21" t="inlineStr">
        <is>
          <t>Funcional</t>
        </is>
      </c>
      <c r="E176" s="21" t="n">
        <v>228</v>
      </c>
      <c r="F176" s="21" t="n">
        <v>12</v>
      </c>
    </row>
    <row r="177">
      <c r="A177" s="23" t="n">
        <v>46154</v>
      </c>
      <c r="B177" s="21" t="inlineStr">
        <is>
          <t>LineaB07</t>
        </is>
      </c>
      <c r="C177" s="21" t="inlineStr">
        <is>
          <t>T2</t>
        </is>
      </c>
      <c r="D177" s="21" t="inlineStr">
        <is>
          <t>Dimensional</t>
        </is>
      </c>
      <c r="E177" s="21" t="n">
        <v>543</v>
      </c>
      <c r="F177" s="21" t="n">
        <v>24</v>
      </c>
    </row>
    <row r="178">
      <c r="A178" s="23" t="n">
        <v>46154</v>
      </c>
      <c r="B178" s="21" t="inlineStr">
        <is>
          <t>LineaB07</t>
        </is>
      </c>
      <c r="C178" s="21" t="inlineStr">
        <is>
          <t>T3</t>
        </is>
      </c>
      <c r="D178" s="21" t="inlineStr">
        <is>
          <t>Visual</t>
        </is>
      </c>
      <c r="E178" s="21" t="n">
        <v>506</v>
      </c>
      <c r="F178" s="21" t="n">
        <v>15</v>
      </c>
    </row>
    <row r="179">
      <c r="A179" s="23" t="n">
        <v>46154</v>
      </c>
      <c r="B179" s="21" t="inlineStr">
        <is>
          <t>LineaC11</t>
        </is>
      </c>
      <c r="C179" s="21" t="inlineStr">
        <is>
          <t>T1</t>
        </is>
      </c>
      <c r="D179" s="21" t="inlineStr">
        <is>
          <t>Pintura</t>
        </is>
      </c>
      <c r="E179" s="21" t="n">
        <v>294</v>
      </c>
      <c r="F179" s="21" t="n">
        <v>12</v>
      </c>
    </row>
    <row r="180">
      <c r="A180" s="23" t="n">
        <v>46154</v>
      </c>
      <c r="B180" s="21" t="inlineStr">
        <is>
          <t>LineaC11</t>
        </is>
      </c>
      <c r="C180" s="21" t="inlineStr">
        <is>
          <t>T2</t>
        </is>
      </c>
      <c r="D180" s="21" t="inlineStr">
        <is>
          <t>Dimensional</t>
        </is>
      </c>
      <c r="E180" s="21" t="n">
        <v>337</v>
      </c>
      <c r="F180" s="21" t="n">
        <v>6</v>
      </c>
    </row>
    <row r="181">
      <c r="A181" s="23" t="n">
        <v>46154</v>
      </c>
      <c r="B181" s="21" t="inlineStr">
        <is>
          <t>LineaC11</t>
        </is>
      </c>
      <c r="C181" s="21" t="inlineStr">
        <is>
          <t>T3</t>
        </is>
      </c>
      <c r="D181" s="21" t="inlineStr">
        <is>
          <t>Dimensional</t>
        </is>
      </c>
      <c r="E181" s="21" t="n">
        <v>480</v>
      </c>
      <c r="F181" s="21" t="n">
        <v>16</v>
      </c>
    </row>
    <row r="182">
      <c r="A182" s="23" t="n">
        <v>46154</v>
      </c>
      <c r="B182" s="21" t="inlineStr">
        <is>
          <t>LineaD22</t>
        </is>
      </c>
      <c r="C182" s="21" t="inlineStr">
        <is>
          <t>T1</t>
        </is>
      </c>
      <c r="D182" s="21" t="inlineStr">
        <is>
          <t>Pintura</t>
        </is>
      </c>
      <c r="E182" s="21" t="n">
        <v>325</v>
      </c>
      <c r="F182" s="21" t="n">
        <v>19</v>
      </c>
    </row>
    <row r="183">
      <c r="A183" s="23" t="n">
        <v>46154</v>
      </c>
      <c r="B183" s="21" t="inlineStr">
        <is>
          <t>LineaD22</t>
        </is>
      </c>
      <c r="C183" s="21" t="inlineStr">
        <is>
          <t>T2</t>
        </is>
      </c>
      <c r="D183" s="21" t="inlineStr">
        <is>
          <t>Pintura</t>
        </is>
      </c>
      <c r="E183" s="21" t="n">
        <v>382</v>
      </c>
      <c r="F183" s="21" t="n">
        <v>14</v>
      </c>
    </row>
    <row r="184">
      <c r="A184" s="23" t="n">
        <v>46154</v>
      </c>
      <c r="B184" s="21" t="inlineStr">
        <is>
          <t>LineaD22</t>
        </is>
      </c>
      <c r="C184" s="21" t="inlineStr">
        <is>
          <t>T3</t>
        </is>
      </c>
      <c r="D184" s="21" t="inlineStr">
        <is>
          <t>Dimensional</t>
        </is>
      </c>
      <c r="E184" s="21" t="n">
        <v>200</v>
      </c>
      <c r="F184" s="21" t="n">
        <v>5</v>
      </c>
    </row>
    <row r="185">
      <c r="A185" s="23" t="n">
        <v>46154</v>
      </c>
      <c r="B185" s="21" t="inlineStr">
        <is>
          <t>LineaE05</t>
        </is>
      </c>
      <c r="C185" s="21" t="inlineStr">
        <is>
          <t>T1</t>
        </is>
      </c>
      <c r="D185" s="21" t="inlineStr">
        <is>
          <t>Pintura</t>
        </is>
      </c>
      <c r="E185" s="21" t="n">
        <v>457</v>
      </c>
      <c r="F185" s="21" t="n">
        <v>16</v>
      </c>
    </row>
    <row r="186">
      <c r="A186" s="23" t="n">
        <v>46154</v>
      </c>
      <c r="B186" s="21" t="inlineStr">
        <is>
          <t>LineaE05</t>
        </is>
      </c>
      <c r="C186" s="21" t="inlineStr">
        <is>
          <t>T2</t>
        </is>
      </c>
      <c r="D186" s="21" t="inlineStr">
        <is>
          <t>Dimensional</t>
        </is>
      </c>
      <c r="E186" s="21" t="n">
        <v>327</v>
      </c>
      <c r="F186" s="21" t="n">
        <v>9</v>
      </c>
    </row>
    <row r="187">
      <c r="A187" s="23" t="n">
        <v>46154</v>
      </c>
      <c r="B187" s="21" t="inlineStr">
        <is>
          <t>LineaE05</t>
        </is>
      </c>
      <c r="C187" s="21" t="inlineStr">
        <is>
          <t>T3</t>
        </is>
      </c>
      <c r="D187" s="21" t="inlineStr">
        <is>
          <t>Pintura</t>
        </is>
      </c>
      <c r="E187" s="21" t="n">
        <v>245</v>
      </c>
      <c r="F187" s="21" t="n">
        <v>7</v>
      </c>
    </row>
    <row r="188">
      <c r="A188" s="23" t="n">
        <v>46155</v>
      </c>
      <c r="B188" s="21" t="inlineStr">
        <is>
          <t>LineaA03</t>
        </is>
      </c>
      <c r="C188" s="21" t="inlineStr">
        <is>
          <t>T1</t>
        </is>
      </c>
      <c r="D188" s="21" t="inlineStr">
        <is>
          <t>Dimensional</t>
        </is>
      </c>
      <c r="E188" s="21" t="n">
        <v>404</v>
      </c>
      <c r="F188" s="21" t="n">
        <v>6</v>
      </c>
    </row>
    <row r="189">
      <c r="A189" s="23" t="n">
        <v>46155</v>
      </c>
      <c r="B189" s="21" t="inlineStr">
        <is>
          <t>LineaA03</t>
        </is>
      </c>
      <c r="C189" s="21" t="inlineStr">
        <is>
          <t>T2</t>
        </is>
      </c>
      <c r="D189" s="21" t="inlineStr">
        <is>
          <t>Pintura</t>
        </is>
      </c>
      <c r="E189" s="21" t="n">
        <v>355</v>
      </c>
      <c r="F189" s="21" t="n">
        <v>7</v>
      </c>
    </row>
    <row r="190">
      <c r="A190" s="23" t="n">
        <v>46155</v>
      </c>
      <c r="B190" s="21" t="inlineStr">
        <is>
          <t>LineaA03</t>
        </is>
      </c>
      <c r="C190" s="21" t="inlineStr">
        <is>
          <t>T3</t>
        </is>
      </c>
      <c r="D190" s="21" t="inlineStr">
        <is>
          <t>Pintura</t>
        </is>
      </c>
      <c r="E190" s="21" t="n">
        <v>243</v>
      </c>
      <c r="F190" s="21" t="n">
        <v>3</v>
      </c>
    </row>
    <row r="191">
      <c r="A191" s="23" t="n">
        <v>46155</v>
      </c>
      <c r="B191" s="21" t="inlineStr">
        <is>
          <t>LineaB07</t>
        </is>
      </c>
      <c r="C191" s="21" t="inlineStr">
        <is>
          <t>T1</t>
        </is>
      </c>
      <c r="D191" s="21" t="inlineStr">
        <is>
          <t>Funcional</t>
        </is>
      </c>
      <c r="E191" s="21" t="n">
        <v>536</v>
      </c>
      <c r="F191" s="21" t="n">
        <v>11</v>
      </c>
    </row>
    <row r="192">
      <c r="A192" s="23" t="n">
        <v>46155</v>
      </c>
      <c r="B192" s="21" t="inlineStr">
        <is>
          <t>LineaB07</t>
        </is>
      </c>
      <c r="C192" s="21" t="inlineStr">
        <is>
          <t>T2</t>
        </is>
      </c>
      <c r="D192" s="21" t="inlineStr">
        <is>
          <t>Visual</t>
        </is>
      </c>
      <c r="E192" s="21" t="n">
        <v>399</v>
      </c>
      <c r="F192" s="21" t="n">
        <v>12</v>
      </c>
    </row>
    <row r="193">
      <c r="A193" s="23" t="n">
        <v>46155</v>
      </c>
      <c r="B193" s="21" t="inlineStr">
        <is>
          <t>LineaB07</t>
        </is>
      </c>
      <c r="C193" s="21" t="inlineStr">
        <is>
          <t>T3</t>
        </is>
      </c>
      <c r="D193" s="21" t="inlineStr">
        <is>
          <t>Dimensional</t>
        </is>
      </c>
      <c r="E193" s="21" t="n">
        <v>276</v>
      </c>
      <c r="F193" s="21" t="n">
        <v>1</v>
      </c>
    </row>
    <row r="194">
      <c r="A194" s="23" t="n">
        <v>46155</v>
      </c>
      <c r="B194" s="21" t="inlineStr">
        <is>
          <t>LineaC11</t>
        </is>
      </c>
      <c r="C194" s="21" t="inlineStr">
        <is>
          <t>T1</t>
        </is>
      </c>
      <c r="D194" s="21" t="inlineStr">
        <is>
          <t>Funcional</t>
        </is>
      </c>
      <c r="E194" s="21" t="n">
        <v>570</v>
      </c>
      <c r="F194" s="21" t="n">
        <v>13</v>
      </c>
    </row>
    <row r="195">
      <c r="A195" s="23" t="n">
        <v>46155</v>
      </c>
      <c r="B195" s="21" t="inlineStr">
        <is>
          <t>LineaC11</t>
        </is>
      </c>
      <c r="C195" s="21" t="inlineStr">
        <is>
          <t>T2</t>
        </is>
      </c>
      <c r="D195" s="21" t="inlineStr">
        <is>
          <t>Visual</t>
        </is>
      </c>
      <c r="E195" s="21" t="n">
        <v>521</v>
      </c>
      <c r="F195" s="21" t="n">
        <v>12</v>
      </c>
    </row>
    <row r="196">
      <c r="A196" s="23" t="n">
        <v>46155</v>
      </c>
      <c r="B196" s="21" t="inlineStr">
        <is>
          <t>LineaC11</t>
        </is>
      </c>
      <c r="C196" s="21" t="inlineStr">
        <is>
          <t>T3</t>
        </is>
      </c>
      <c r="D196" s="21" t="inlineStr">
        <is>
          <t>Funcional</t>
        </is>
      </c>
      <c r="E196" s="21" t="n">
        <v>575</v>
      </c>
      <c r="F196" s="21" t="n">
        <v>14</v>
      </c>
    </row>
    <row r="197">
      <c r="A197" s="23" t="n">
        <v>46155</v>
      </c>
      <c r="B197" s="21" t="inlineStr">
        <is>
          <t>LineaD22</t>
        </is>
      </c>
      <c r="C197" s="21" t="inlineStr">
        <is>
          <t>T1</t>
        </is>
      </c>
      <c r="D197" s="21" t="inlineStr">
        <is>
          <t>Funcional</t>
        </is>
      </c>
      <c r="E197" s="21" t="n">
        <v>585</v>
      </c>
      <c r="F197" s="21" t="n">
        <v>7</v>
      </c>
    </row>
    <row r="198">
      <c r="A198" s="23" t="n">
        <v>46155</v>
      </c>
      <c r="B198" s="21" t="inlineStr">
        <is>
          <t>LineaD22</t>
        </is>
      </c>
      <c r="C198" s="21" t="inlineStr">
        <is>
          <t>T2</t>
        </is>
      </c>
      <c r="D198" s="21" t="inlineStr">
        <is>
          <t>Funcional</t>
        </is>
      </c>
      <c r="E198" s="21" t="n">
        <v>491</v>
      </c>
      <c r="F198" s="21" t="n">
        <v>21</v>
      </c>
    </row>
    <row r="199">
      <c r="A199" s="23" t="n">
        <v>46155</v>
      </c>
      <c r="B199" s="21" t="inlineStr">
        <is>
          <t>LineaD22</t>
        </is>
      </c>
      <c r="C199" s="21" t="inlineStr">
        <is>
          <t>T3</t>
        </is>
      </c>
      <c r="D199" s="21" t="inlineStr">
        <is>
          <t>Pintura</t>
        </is>
      </c>
      <c r="E199" s="21" t="n">
        <v>564</v>
      </c>
      <c r="F199" s="21" t="n">
        <v>3</v>
      </c>
    </row>
    <row r="200">
      <c r="A200" s="23" t="n">
        <v>46155</v>
      </c>
      <c r="B200" s="21" t="inlineStr">
        <is>
          <t>LineaE05</t>
        </is>
      </c>
      <c r="C200" s="21" t="inlineStr">
        <is>
          <t>T1</t>
        </is>
      </c>
      <c r="D200" s="21" t="inlineStr">
        <is>
          <t>Dimensional</t>
        </is>
      </c>
      <c r="E200" s="21" t="n">
        <v>243</v>
      </c>
      <c r="F200" s="21" t="n">
        <v>9</v>
      </c>
    </row>
    <row r="201">
      <c r="A201" s="23" t="n">
        <v>46155</v>
      </c>
      <c r="B201" s="21" t="inlineStr">
        <is>
          <t>LineaE05</t>
        </is>
      </c>
      <c r="C201" s="21" t="inlineStr">
        <is>
          <t>T2</t>
        </is>
      </c>
      <c r="D201" s="21" t="inlineStr">
        <is>
          <t>Visual</t>
        </is>
      </c>
      <c r="E201" s="21" t="n">
        <v>253</v>
      </c>
      <c r="F201" s="21" t="n">
        <v>7</v>
      </c>
    </row>
    <row r="202">
      <c r="A202" s="23" t="n">
        <v>46155</v>
      </c>
      <c r="B202" s="21" t="inlineStr">
        <is>
          <t>LineaE05</t>
        </is>
      </c>
      <c r="C202" s="21" t="inlineStr">
        <is>
          <t>T3</t>
        </is>
      </c>
      <c r="D202" s="21" t="inlineStr">
        <is>
          <t>Funcional</t>
        </is>
      </c>
      <c r="E202" s="21" t="n">
        <v>431</v>
      </c>
      <c r="F202" s="21" t="n">
        <v>4</v>
      </c>
    </row>
    <row r="203">
      <c r="A203" s="23" t="n">
        <v>46156</v>
      </c>
      <c r="B203" s="21" t="inlineStr">
        <is>
          <t>LineaA03</t>
        </is>
      </c>
      <c r="C203" s="21" t="inlineStr">
        <is>
          <t>T1</t>
        </is>
      </c>
      <c r="D203" s="21" t="inlineStr">
        <is>
          <t>Pintura</t>
        </is>
      </c>
      <c r="E203" s="21" t="n">
        <v>548</v>
      </c>
      <c r="F203" s="21" t="n">
        <v>12</v>
      </c>
    </row>
    <row r="204">
      <c r="A204" s="23" t="n">
        <v>46156</v>
      </c>
      <c r="B204" s="21" t="inlineStr">
        <is>
          <t>LineaA03</t>
        </is>
      </c>
      <c r="C204" s="21" t="inlineStr">
        <is>
          <t>T2</t>
        </is>
      </c>
      <c r="D204" s="21" t="inlineStr">
        <is>
          <t>Soldadura</t>
        </is>
      </c>
      <c r="E204" s="21" t="n">
        <v>450</v>
      </c>
      <c r="F204" s="21" t="n">
        <v>12</v>
      </c>
    </row>
    <row r="205">
      <c r="A205" s="23" t="n">
        <v>46156</v>
      </c>
      <c r="B205" s="21" t="inlineStr">
        <is>
          <t>LineaA03</t>
        </is>
      </c>
      <c r="C205" s="21" t="inlineStr">
        <is>
          <t>T3</t>
        </is>
      </c>
      <c r="D205" s="21" t="inlineStr">
        <is>
          <t>Funcional</t>
        </is>
      </c>
      <c r="E205" s="21" t="n">
        <v>583</v>
      </c>
      <c r="F205" s="21" t="n">
        <v>27</v>
      </c>
    </row>
    <row r="206">
      <c r="A206" s="23" t="n">
        <v>46156</v>
      </c>
      <c r="B206" s="21" t="inlineStr">
        <is>
          <t>LineaB07</t>
        </is>
      </c>
      <c r="C206" s="21" t="inlineStr">
        <is>
          <t>T1</t>
        </is>
      </c>
      <c r="D206" s="21" t="inlineStr">
        <is>
          <t>Visual</t>
        </is>
      </c>
      <c r="E206" s="21" t="n">
        <v>474</v>
      </c>
      <c r="F206" s="21" t="n">
        <v>21</v>
      </c>
    </row>
    <row r="207">
      <c r="A207" s="23" t="n">
        <v>46156</v>
      </c>
      <c r="B207" s="21" t="inlineStr">
        <is>
          <t>LineaB07</t>
        </is>
      </c>
      <c r="C207" s="21" t="inlineStr">
        <is>
          <t>T2</t>
        </is>
      </c>
      <c r="D207" s="21" t="inlineStr">
        <is>
          <t>Soldadura</t>
        </is>
      </c>
      <c r="E207" s="21" t="n">
        <v>329</v>
      </c>
      <c r="F207" s="21" t="n">
        <v>13</v>
      </c>
    </row>
    <row r="208">
      <c r="A208" s="23" t="n">
        <v>46156</v>
      </c>
      <c r="B208" s="21" t="inlineStr">
        <is>
          <t>LineaB07</t>
        </is>
      </c>
      <c r="C208" s="21" t="inlineStr">
        <is>
          <t>T3</t>
        </is>
      </c>
      <c r="D208" s="21" t="inlineStr">
        <is>
          <t>Pintura</t>
        </is>
      </c>
      <c r="E208" s="21" t="n">
        <v>335</v>
      </c>
      <c r="F208" s="21" t="n">
        <v>10</v>
      </c>
    </row>
    <row r="209">
      <c r="A209" s="23" t="n">
        <v>46156</v>
      </c>
      <c r="B209" s="21" t="inlineStr">
        <is>
          <t>LineaC11</t>
        </is>
      </c>
      <c r="C209" s="21" t="inlineStr">
        <is>
          <t>T1</t>
        </is>
      </c>
      <c r="D209" s="21" t="inlineStr">
        <is>
          <t>Visual</t>
        </is>
      </c>
      <c r="E209" s="21" t="n">
        <v>578</v>
      </c>
      <c r="F209" s="21" t="n">
        <v>31</v>
      </c>
    </row>
    <row r="210">
      <c r="A210" s="23" t="n">
        <v>46156</v>
      </c>
      <c r="B210" s="21" t="inlineStr">
        <is>
          <t>LineaC11</t>
        </is>
      </c>
      <c r="C210" s="21" t="inlineStr">
        <is>
          <t>T2</t>
        </is>
      </c>
      <c r="D210" s="21" t="inlineStr">
        <is>
          <t>Dimensional</t>
        </is>
      </c>
      <c r="E210" s="21" t="n">
        <v>452</v>
      </c>
      <c r="F210" s="21" t="n">
        <v>15</v>
      </c>
    </row>
    <row r="211">
      <c r="A211" s="23" t="n">
        <v>46156</v>
      </c>
      <c r="B211" s="21" t="inlineStr">
        <is>
          <t>LineaC11</t>
        </is>
      </c>
      <c r="C211" s="21" t="inlineStr">
        <is>
          <t>T3</t>
        </is>
      </c>
      <c r="D211" s="21" t="inlineStr">
        <is>
          <t>Soldadura</t>
        </is>
      </c>
      <c r="E211" s="21" t="n">
        <v>592</v>
      </c>
      <c r="F211" s="21" t="n">
        <v>14</v>
      </c>
    </row>
    <row r="212">
      <c r="A212" s="23" t="n">
        <v>46156</v>
      </c>
      <c r="B212" s="21" t="inlineStr">
        <is>
          <t>LineaD22</t>
        </is>
      </c>
      <c r="C212" s="21" t="inlineStr">
        <is>
          <t>T1</t>
        </is>
      </c>
      <c r="D212" s="21" t="inlineStr">
        <is>
          <t>Funcional</t>
        </is>
      </c>
      <c r="E212" s="21" t="n">
        <v>515</v>
      </c>
      <c r="F212" s="21" t="n">
        <v>12</v>
      </c>
    </row>
    <row r="213">
      <c r="A213" s="23" t="n">
        <v>46156</v>
      </c>
      <c r="B213" s="21" t="inlineStr">
        <is>
          <t>LineaD22</t>
        </is>
      </c>
      <c r="C213" s="21" t="inlineStr">
        <is>
          <t>T2</t>
        </is>
      </c>
      <c r="D213" s="21" t="inlineStr">
        <is>
          <t>Dimensional</t>
        </is>
      </c>
      <c r="E213" s="21" t="n">
        <v>275</v>
      </c>
      <c r="F213" s="21" t="n">
        <v>6</v>
      </c>
    </row>
    <row r="214">
      <c r="A214" s="23" t="n">
        <v>46156</v>
      </c>
      <c r="B214" s="21" t="inlineStr">
        <is>
          <t>LineaD22</t>
        </is>
      </c>
      <c r="C214" s="21" t="inlineStr">
        <is>
          <t>T3</t>
        </is>
      </c>
      <c r="D214" s="21" t="inlineStr">
        <is>
          <t>Funcional</t>
        </is>
      </c>
      <c r="E214" s="21" t="n">
        <v>330</v>
      </c>
      <c r="F214" s="21" t="n">
        <v>5</v>
      </c>
    </row>
    <row r="215">
      <c r="A215" s="23" t="n">
        <v>46156</v>
      </c>
      <c r="B215" s="21" t="inlineStr">
        <is>
          <t>LineaE05</t>
        </is>
      </c>
      <c r="C215" s="21" t="inlineStr">
        <is>
          <t>T1</t>
        </is>
      </c>
      <c r="D215" s="21" t="inlineStr">
        <is>
          <t>Pintura</t>
        </is>
      </c>
      <c r="E215" s="21" t="n">
        <v>490</v>
      </c>
      <c r="F215" s="21" t="n">
        <v>5</v>
      </c>
    </row>
    <row r="216">
      <c r="A216" s="23" t="n">
        <v>46156</v>
      </c>
      <c r="B216" s="21" t="inlineStr">
        <is>
          <t>LineaE05</t>
        </is>
      </c>
      <c r="C216" s="21" t="inlineStr">
        <is>
          <t>T2</t>
        </is>
      </c>
      <c r="D216" s="21" t="inlineStr">
        <is>
          <t>Soldadura</t>
        </is>
      </c>
      <c r="E216" s="21" t="n">
        <v>206</v>
      </c>
      <c r="F216" s="21" t="n">
        <v>2</v>
      </c>
    </row>
    <row r="217">
      <c r="A217" s="23" t="n">
        <v>46156</v>
      </c>
      <c r="B217" s="21" t="inlineStr">
        <is>
          <t>LineaE05</t>
        </is>
      </c>
      <c r="C217" s="21" t="inlineStr">
        <is>
          <t>T3</t>
        </is>
      </c>
      <c r="D217" s="21" t="inlineStr">
        <is>
          <t>Pintura</t>
        </is>
      </c>
      <c r="E217" s="21" t="n">
        <v>554</v>
      </c>
      <c r="F217" s="21" t="n">
        <v>17</v>
      </c>
    </row>
    <row r="218">
      <c r="A218" s="23" t="n">
        <v>46157</v>
      </c>
      <c r="B218" s="21" t="inlineStr">
        <is>
          <t>LineaA03</t>
        </is>
      </c>
      <c r="C218" s="21" t="inlineStr">
        <is>
          <t>T1</t>
        </is>
      </c>
      <c r="D218" s="21" t="inlineStr">
        <is>
          <t>Dimensional</t>
        </is>
      </c>
      <c r="E218" s="21" t="n">
        <v>545</v>
      </c>
      <c r="F218" s="21" t="n">
        <v>3</v>
      </c>
    </row>
    <row r="219">
      <c r="A219" s="23" t="n">
        <v>46157</v>
      </c>
      <c r="B219" s="21" t="inlineStr">
        <is>
          <t>LineaA03</t>
        </is>
      </c>
      <c r="C219" s="21" t="inlineStr">
        <is>
          <t>T2</t>
        </is>
      </c>
      <c r="D219" s="21" t="inlineStr">
        <is>
          <t>Visual</t>
        </is>
      </c>
      <c r="E219" s="21" t="n">
        <v>437</v>
      </c>
      <c r="F219" s="21" t="n">
        <v>13</v>
      </c>
    </row>
    <row r="220">
      <c r="A220" s="23" t="n">
        <v>46157</v>
      </c>
      <c r="B220" s="21" t="inlineStr">
        <is>
          <t>LineaA03</t>
        </is>
      </c>
      <c r="C220" s="21" t="inlineStr">
        <is>
          <t>T3</t>
        </is>
      </c>
      <c r="D220" s="21" t="inlineStr">
        <is>
          <t>Funcional</t>
        </is>
      </c>
      <c r="E220" s="21" t="n">
        <v>438</v>
      </c>
      <c r="F220" s="21" t="n">
        <v>15</v>
      </c>
    </row>
    <row r="221">
      <c r="A221" s="23" t="n">
        <v>46157</v>
      </c>
      <c r="B221" s="21" t="inlineStr">
        <is>
          <t>LineaB07</t>
        </is>
      </c>
      <c r="C221" s="21" t="inlineStr">
        <is>
          <t>T1</t>
        </is>
      </c>
      <c r="D221" s="21" t="inlineStr">
        <is>
          <t>Dimensional</t>
        </is>
      </c>
      <c r="E221" s="21" t="n">
        <v>302</v>
      </c>
      <c r="F221" s="21" t="n">
        <v>0</v>
      </c>
    </row>
    <row r="222">
      <c r="A222" s="23" t="n">
        <v>46157</v>
      </c>
      <c r="B222" s="21" t="inlineStr">
        <is>
          <t>LineaB07</t>
        </is>
      </c>
      <c r="C222" s="21" t="inlineStr">
        <is>
          <t>T2</t>
        </is>
      </c>
      <c r="D222" s="21" t="inlineStr">
        <is>
          <t>Visual</t>
        </is>
      </c>
      <c r="E222" s="21" t="n">
        <v>243</v>
      </c>
      <c r="F222" s="21" t="n">
        <v>7</v>
      </c>
    </row>
    <row r="223">
      <c r="A223" s="23" t="n">
        <v>46157</v>
      </c>
      <c r="B223" s="21" t="inlineStr">
        <is>
          <t>LineaB07</t>
        </is>
      </c>
      <c r="C223" s="21" t="inlineStr">
        <is>
          <t>T3</t>
        </is>
      </c>
      <c r="D223" s="21" t="inlineStr">
        <is>
          <t>Funcional</t>
        </is>
      </c>
      <c r="E223" s="21" t="n">
        <v>239</v>
      </c>
      <c r="F223" s="21" t="n">
        <v>6</v>
      </c>
    </row>
    <row r="224">
      <c r="A224" s="23" t="n">
        <v>46157</v>
      </c>
      <c r="B224" s="21" t="inlineStr">
        <is>
          <t>LineaC11</t>
        </is>
      </c>
      <c r="C224" s="21" t="inlineStr">
        <is>
          <t>T1</t>
        </is>
      </c>
      <c r="D224" s="21" t="inlineStr">
        <is>
          <t>Pintura</t>
        </is>
      </c>
      <c r="E224" s="21" t="n">
        <v>430</v>
      </c>
      <c r="F224" s="21" t="n">
        <v>19</v>
      </c>
    </row>
    <row r="225">
      <c r="A225" s="23" t="n">
        <v>46157</v>
      </c>
      <c r="B225" s="21" t="inlineStr">
        <is>
          <t>LineaC11</t>
        </is>
      </c>
      <c r="C225" s="21" t="inlineStr">
        <is>
          <t>T2</t>
        </is>
      </c>
      <c r="D225" s="21" t="inlineStr">
        <is>
          <t>Funcional</t>
        </is>
      </c>
      <c r="E225" s="21" t="n">
        <v>238</v>
      </c>
      <c r="F225" s="21" t="n">
        <v>7</v>
      </c>
    </row>
    <row r="226">
      <c r="A226" s="23" t="n">
        <v>46157</v>
      </c>
      <c r="B226" s="21" t="inlineStr">
        <is>
          <t>LineaC11</t>
        </is>
      </c>
      <c r="C226" s="21" t="inlineStr">
        <is>
          <t>T3</t>
        </is>
      </c>
      <c r="D226" s="21" t="inlineStr">
        <is>
          <t>Dimensional</t>
        </is>
      </c>
      <c r="E226" s="21" t="n">
        <v>246</v>
      </c>
      <c r="F226" s="21" t="n">
        <v>10</v>
      </c>
    </row>
    <row r="227">
      <c r="A227" s="23" t="n">
        <v>46157</v>
      </c>
      <c r="B227" s="21" t="inlineStr">
        <is>
          <t>LineaD22</t>
        </is>
      </c>
      <c r="C227" s="21" t="inlineStr">
        <is>
          <t>T1</t>
        </is>
      </c>
      <c r="D227" s="21" t="inlineStr">
        <is>
          <t>Funcional</t>
        </is>
      </c>
      <c r="E227" s="21" t="n">
        <v>267</v>
      </c>
      <c r="F227" s="21" t="n">
        <v>11</v>
      </c>
    </row>
    <row r="228">
      <c r="A228" s="23" t="n">
        <v>46157</v>
      </c>
      <c r="B228" s="21" t="inlineStr">
        <is>
          <t>LineaD22</t>
        </is>
      </c>
      <c r="C228" s="21" t="inlineStr">
        <is>
          <t>T2</t>
        </is>
      </c>
      <c r="D228" s="21" t="inlineStr">
        <is>
          <t>Dimensional</t>
        </is>
      </c>
      <c r="E228" s="21" t="n">
        <v>523</v>
      </c>
      <c r="F228" s="21" t="n">
        <v>0</v>
      </c>
    </row>
    <row r="229">
      <c r="A229" s="23" t="n">
        <v>46157</v>
      </c>
      <c r="B229" s="21" t="inlineStr">
        <is>
          <t>LineaD22</t>
        </is>
      </c>
      <c r="C229" s="21" t="inlineStr">
        <is>
          <t>T3</t>
        </is>
      </c>
      <c r="D229" s="21" t="inlineStr">
        <is>
          <t>Visual</t>
        </is>
      </c>
      <c r="E229" s="21" t="n">
        <v>318</v>
      </c>
      <c r="F229" s="21" t="n">
        <v>8</v>
      </c>
    </row>
    <row r="230">
      <c r="A230" s="23" t="n">
        <v>46157</v>
      </c>
      <c r="B230" s="21" t="inlineStr">
        <is>
          <t>LineaE05</t>
        </is>
      </c>
      <c r="C230" s="21" t="inlineStr">
        <is>
          <t>T1</t>
        </is>
      </c>
      <c r="D230" s="21" t="inlineStr">
        <is>
          <t>Visual</t>
        </is>
      </c>
      <c r="E230" s="21" t="n">
        <v>448</v>
      </c>
      <c r="F230" s="21" t="n">
        <v>10</v>
      </c>
    </row>
    <row r="231">
      <c r="A231" s="23" t="n">
        <v>46157</v>
      </c>
      <c r="B231" s="21" t="inlineStr">
        <is>
          <t>LineaE05</t>
        </is>
      </c>
      <c r="C231" s="21" t="inlineStr">
        <is>
          <t>T2</t>
        </is>
      </c>
      <c r="D231" s="21" t="inlineStr">
        <is>
          <t>Visual</t>
        </is>
      </c>
      <c r="E231" s="21" t="n">
        <v>548</v>
      </c>
      <c r="F231" s="21" t="n">
        <v>19</v>
      </c>
    </row>
    <row r="232">
      <c r="A232" s="23" t="n">
        <v>46157</v>
      </c>
      <c r="B232" s="21" t="inlineStr">
        <is>
          <t>LineaE05</t>
        </is>
      </c>
      <c r="C232" s="21" t="inlineStr">
        <is>
          <t>T3</t>
        </is>
      </c>
      <c r="D232" s="21" t="inlineStr">
        <is>
          <t>Dimensional</t>
        </is>
      </c>
      <c r="E232" s="21" t="n">
        <v>407</v>
      </c>
      <c r="F232" s="21" t="n">
        <v>11</v>
      </c>
    </row>
    <row r="233">
      <c r="A233" s="23" t="n">
        <v>46158</v>
      </c>
      <c r="B233" s="21" t="inlineStr">
        <is>
          <t>LineaA03</t>
        </is>
      </c>
      <c r="C233" s="21" t="inlineStr">
        <is>
          <t>T1</t>
        </is>
      </c>
      <c r="D233" s="21" t="inlineStr">
        <is>
          <t>Dimensional</t>
        </is>
      </c>
      <c r="E233" s="21" t="n">
        <v>392</v>
      </c>
      <c r="F233" s="21" t="n">
        <v>14</v>
      </c>
    </row>
    <row r="234">
      <c r="A234" s="23" t="n">
        <v>46158</v>
      </c>
      <c r="B234" s="21" t="inlineStr">
        <is>
          <t>LineaA03</t>
        </is>
      </c>
      <c r="C234" s="21" t="inlineStr">
        <is>
          <t>T2</t>
        </is>
      </c>
      <c r="D234" s="21" t="inlineStr">
        <is>
          <t>Dimensional</t>
        </is>
      </c>
      <c r="E234" s="21" t="n">
        <v>261</v>
      </c>
      <c r="F234" s="21" t="n">
        <v>7</v>
      </c>
    </row>
    <row r="235">
      <c r="A235" s="23" t="n">
        <v>46158</v>
      </c>
      <c r="B235" s="21" t="inlineStr">
        <is>
          <t>LineaA03</t>
        </is>
      </c>
      <c r="C235" s="21" t="inlineStr">
        <is>
          <t>T3</t>
        </is>
      </c>
      <c r="D235" s="21" t="inlineStr">
        <is>
          <t>Soldadura</t>
        </is>
      </c>
      <c r="E235" s="21" t="n">
        <v>403</v>
      </c>
      <c r="F235" s="21" t="n">
        <v>11</v>
      </c>
    </row>
    <row r="236">
      <c r="A236" s="23" t="n">
        <v>46158</v>
      </c>
      <c r="B236" s="21" t="inlineStr">
        <is>
          <t>LineaB07</t>
        </is>
      </c>
      <c r="C236" s="21" t="inlineStr">
        <is>
          <t>T1</t>
        </is>
      </c>
      <c r="D236" s="21" t="inlineStr">
        <is>
          <t>Dimensional</t>
        </is>
      </c>
      <c r="E236" s="21" t="n">
        <v>300</v>
      </c>
      <c r="F236" s="21" t="n">
        <v>6</v>
      </c>
    </row>
    <row r="237">
      <c r="A237" s="23" t="n">
        <v>46158</v>
      </c>
      <c r="B237" s="21" t="inlineStr">
        <is>
          <t>LineaB07</t>
        </is>
      </c>
      <c r="C237" s="21" t="inlineStr">
        <is>
          <t>T2</t>
        </is>
      </c>
      <c r="D237" s="21" t="inlineStr">
        <is>
          <t>Dimensional</t>
        </is>
      </c>
      <c r="E237" s="21" t="n">
        <v>329</v>
      </c>
      <c r="F237" s="21" t="n">
        <v>0</v>
      </c>
    </row>
    <row r="238">
      <c r="A238" s="23" t="n">
        <v>46158</v>
      </c>
      <c r="B238" s="21" t="inlineStr">
        <is>
          <t>LineaB07</t>
        </is>
      </c>
      <c r="C238" s="21" t="inlineStr">
        <is>
          <t>T3</t>
        </is>
      </c>
      <c r="D238" s="21" t="inlineStr">
        <is>
          <t>Funcional</t>
        </is>
      </c>
      <c r="E238" s="21" t="n">
        <v>233</v>
      </c>
      <c r="F238" s="21" t="n">
        <v>0</v>
      </c>
    </row>
    <row r="239">
      <c r="A239" s="23" t="n">
        <v>46158</v>
      </c>
      <c r="B239" s="21" t="inlineStr">
        <is>
          <t>LineaC11</t>
        </is>
      </c>
      <c r="C239" s="21" t="inlineStr">
        <is>
          <t>T1</t>
        </is>
      </c>
      <c r="D239" s="21" t="inlineStr">
        <is>
          <t>Dimensional</t>
        </is>
      </c>
      <c r="E239" s="21" t="n">
        <v>239</v>
      </c>
      <c r="F239" s="21" t="n">
        <v>15</v>
      </c>
    </row>
    <row r="240">
      <c r="A240" s="23" t="n">
        <v>46158</v>
      </c>
      <c r="B240" s="21" t="inlineStr">
        <is>
          <t>LineaC11</t>
        </is>
      </c>
      <c r="C240" s="21" t="inlineStr">
        <is>
          <t>T2</t>
        </is>
      </c>
      <c r="D240" s="21" t="inlineStr">
        <is>
          <t>Dimensional</t>
        </is>
      </c>
      <c r="E240" s="21" t="n">
        <v>419</v>
      </c>
      <c r="F240" s="21" t="n">
        <v>13</v>
      </c>
    </row>
    <row r="241">
      <c r="A241" s="23" t="n">
        <v>46158</v>
      </c>
      <c r="B241" s="21" t="inlineStr">
        <is>
          <t>LineaC11</t>
        </is>
      </c>
      <c r="C241" s="21" t="inlineStr">
        <is>
          <t>T3</t>
        </is>
      </c>
      <c r="D241" s="21" t="inlineStr">
        <is>
          <t>Soldadura</t>
        </is>
      </c>
      <c r="E241" s="21" t="n">
        <v>252</v>
      </c>
      <c r="F241" s="21" t="n">
        <v>0</v>
      </c>
    </row>
    <row r="242">
      <c r="A242" s="23" t="n">
        <v>46158</v>
      </c>
      <c r="B242" s="21" t="inlineStr">
        <is>
          <t>LineaD22</t>
        </is>
      </c>
      <c r="C242" s="21" t="inlineStr">
        <is>
          <t>T1</t>
        </is>
      </c>
      <c r="D242" s="21" t="inlineStr">
        <is>
          <t>Pintura</t>
        </is>
      </c>
      <c r="E242" s="21" t="n">
        <v>538</v>
      </c>
      <c r="F242" s="21" t="n">
        <v>11</v>
      </c>
    </row>
    <row r="243">
      <c r="A243" s="23" t="n">
        <v>46158</v>
      </c>
      <c r="B243" s="21" t="inlineStr">
        <is>
          <t>LineaD22</t>
        </is>
      </c>
      <c r="C243" s="21" t="inlineStr">
        <is>
          <t>T2</t>
        </is>
      </c>
      <c r="D243" s="21" t="inlineStr">
        <is>
          <t>Visual</t>
        </is>
      </c>
      <c r="E243" s="21" t="n">
        <v>336</v>
      </c>
      <c r="F243" s="21" t="n">
        <v>21</v>
      </c>
    </row>
    <row r="244">
      <c r="A244" s="23" t="n">
        <v>46158</v>
      </c>
      <c r="B244" s="21" t="inlineStr">
        <is>
          <t>LineaD22</t>
        </is>
      </c>
      <c r="C244" s="21" t="inlineStr">
        <is>
          <t>T3</t>
        </is>
      </c>
      <c r="D244" s="21" t="inlineStr">
        <is>
          <t>Visual</t>
        </is>
      </c>
      <c r="E244" s="21" t="n">
        <v>461</v>
      </c>
      <c r="F244" s="21" t="n">
        <v>9</v>
      </c>
    </row>
    <row r="245">
      <c r="A245" s="23" t="n">
        <v>46158</v>
      </c>
      <c r="B245" s="21" t="inlineStr">
        <is>
          <t>LineaE05</t>
        </is>
      </c>
      <c r="C245" s="21" t="inlineStr">
        <is>
          <t>T1</t>
        </is>
      </c>
      <c r="D245" s="21" t="inlineStr">
        <is>
          <t>Visual</t>
        </is>
      </c>
      <c r="E245" s="21" t="n">
        <v>214</v>
      </c>
      <c r="F245" s="21" t="n">
        <v>11</v>
      </c>
    </row>
    <row r="246">
      <c r="A246" s="23" t="n">
        <v>46158</v>
      </c>
      <c r="B246" s="21" t="inlineStr">
        <is>
          <t>LineaE05</t>
        </is>
      </c>
      <c r="C246" s="21" t="inlineStr">
        <is>
          <t>T2</t>
        </is>
      </c>
      <c r="D246" s="21" t="inlineStr">
        <is>
          <t>Soldadura</t>
        </is>
      </c>
      <c r="E246" s="21" t="n">
        <v>483</v>
      </c>
      <c r="F246" s="21" t="n">
        <v>3</v>
      </c>
    </row>
    <row r="247">
      <c r="A247" s="23" t="n">
        <v>46158</v>
      </c>
      <c r="B247" s="21" t="inlineStr">
        <is>
          <t>LineaE05</t>
        </is>
      </c>
      <c r="C247" s="21" t="inlineStr">
        <is>
          <t>T3</t>
        </is>
      </c>
      <c r="D247" s="21" t="inlineStr">
        <is>
          <t>Visual</t>
        </is>
      </c>
      <c r="E247" s="21" t="n">
        <v>574</v>
      </c>
      <c r="F247" s="21" t="n">
        <v>13</v>
      </c>
    </row>
    <row r="248">
      <c r="A248" s="23" t="n">
        <v>46159</v>
      </c>
      <c r="B248" s="21" t="inlineStr">
        <is>
          <t>LineaA03</t>
        </is>
      </c>
      <c r="C248" s="21" t="inlineStr">
        <is>
          <t>T1</t>
        </is>
      </c>
      <c r="D248" s="21" t="inlineStr">
        <is>
          <t>Dimensional</t>
        </is>
      </c>
      <c r="E248" s="21" t="n">
        <v>430</v>
      </c>
      <c r="F248" s="21" t="n">
        <v>10</v>
      </c>
    </row>
    <row r="249">
      <c r="A249" s="23" t="n">
        <v>46159</v>
      </c>
      <c r="B249" s="21" t="inlineStr">
        <is>
          <t>LineaA03</t>
        </is>
      </c>
      <c r="C249" s="21" t="inlineStr">
        <is>
          <t>T2</t>
        </is>
      </c>
      <c r="D249" s="21" t="inlineStr">
        <is>
          <t>Soldadura</t>
        </is>
      </c>
      <c r="E249" s="21" t="n">
        <v>448</v>
      </c>
      <c r="F249" s="21" t="n">
        <v>11</v>
      </c>
    </row>
    <row r="250">
      <c r="A250" s="23" t="n">
        <v>46159</v>
      </c>
      <c r="B250" s="21" t="inlineStr">
        <is>
          <t>LineaA03</t>
        </is>
      </c>
      <c r="C250" s="21" t="inlineStr">
        <is>
          <t>T3</t>
        </is>
      </c>
      <c r="D250" s="21" t="inlineStr">
        <is>
          <t>Dimensional</t>
        </is>
      </c>
      <c r="E250" s="21" t="n">
        <v>481</v>
      </c>
      <c r="F250" s="21" t="n">
        <v>20</v>
      </c>
    </row>
    <row r="251">
      <c r="A251" s="23" t="n">
        <v>46159</v>
      </c>
      <c r="B251" s="21" t="inlineStr">
        <is>
          <t>LineaB07</t>
        </is>
      </c>
      <c r="C251" s="21" t="inlineStr">
        <is>
          <t>T1</t>
        </is>
      </c>
      <c r="D251" s="21" t="inlineStr">
        <is>
          <t>Dimensional</t>
        </is>
      </c>
      <c r="E251" s="21" t="n">
        <v>344</v>
      </c>
      <c r="F251" s="21" t="n">
        <v>14</v>
      </c>
    </row>
    <row r="252">
      <c r="A252" s="23" t="n">
        <v>46159</v>
      </c>
      <c r="B252" s="21" t="inlineStr">
        <is>
          <t>LineaB07</t>
        </is>
      </c>
      <c r="C252" s="21" t="inlineStr">
        <is>
          <t>T2</t>
        </is>
      </c>
      <c r="D252" s="21" t="inlineStr">
        <is>
          <t>Dimensional</t>
        </is>
      </c>
      <c r="E252" s="21" t="n">
        <v>330</v>
      </c>
      <c r="F252" s="21" t="n">
        <v>8</v>
      </c>
    </row>
    <row r="253">
      <c r="A253" s="23" t="n">
        <v>46159</v>
      </c>
      <c r="B253" s="21" t="inlineStr">
        <is>
          <t>LineaB07</t>
        </is>
      </c>
      <c r="C253" s="21" t="inlineStr">
        <is>
          <t>T3</t>
        </is>
      </c>
      <c r="D253" s="21" t="inlineStr">
        <is>
          <t>Pintura</t>
        </is>
      </c>
      <c r="E253" s="21" t="n">
        <v>407</v>
      </c>
      <c r="F253" s="21" t="n">
        <v>0</v>
      </c>
    </row>
    <row r="254">
      <c r="A254" s="23" t="n">
        <v>46159</v>
      </c>
      <c r="B254" s="21" t="inlineStr">
        <is>
          <t>LineaC11</t>
        </is>
      </c>
      <c r="C254" s="21" t="inlineStr">
        <is>
          <t>T1</t>
        </is>
      </c>
      <c r="D254" s="21" t="inlineStr">
        <is>
          <t>Soldadura</t>
        </is>
      </c>
      <c r="E254" s="21" t="n">
        <v>354</v>
      </c>
      <c r="F254" s="21" t="n">
        <v>2</v>
      </c>
    </row>
    <row r="255">
      <c r="A255" s="23" t="n">
        <v>46159</v>
      </c>
      <c r="B255" s="21" t="inlineStr">
        <is>
          <t>LineaC11</t>
        </is>
      </c>
      <c r="C255" s="21" t="inlineStr">
        <is>
          <t>T2</t>
        </is>
      </c>
      <c r="D255" s="21" t="inlineStr">
        <is>
          <t>Pintura</t>
        </is>
      </c>
      <c r="E255" s="21" t="n">
        <v>285</v>
      </c>
      <c r="F255" s="21" t="n">
        <v>9</v>
      </c>
    </row>
    <row r="256">
      <c r="A256" s="23" t="n">
        <v>46159</v>
      </c>
      <c r="B256" s="21" t="inlineStr">
        <is>
          <t>LineaC11</t>
        </is>
      </c>
      <c r="C256" s="21" t="inlineStr">
        <is>
          <t>T3</t>
        </is>
      </c>
      <c r="D256" s="21" t="inlineStr">
        <is>
          <t>Visual</t>
        </is>
      </c>
      <c r="E256" s="21" t="n">
        <v>238</v>
      </c>
      <c r="F256" s="21" t="n">
        <v>9</v>
      </c>
    </row>
    <row r="257">
      <c r="A257" s="23" t="n">
        <v>46159</v>
      </c>
      <c r="B257" s="21" t="inlineStr">
        <is>
          <t>LineaD22</t>
        </is>
      </c>
      <c r="C257" s="21" t="inlineStr">
        <is>
          <t>T1</t>
        </is>
      </c>
      <c r="D257" s="21" t="inlineStr">
        <is>
          <t>Pintura</t>
        </is>
      </c>
      <c r="E257" s="21" t="n">
        <v>481</v>
      </c>
      <c r="F257" s="21" t="n">
        <v>29</v>
      </c>
    </row>
    <row r="258">
      <c r="A258" s="23" t="n">
        <v>46159</v>
      </c>
      <c r="B258" s="21" t="inlineStr">
        <is>
          <t>LineaD22</t>
        </is>
      </c>
      <c r="C258" s="21" t="inlineStr">
        <is>
          <t>T2</t>
        </is>
      </c>
      <c r="D258" s="21" t="inlineStr">
        <is>
          <t>Visual</t>
        </is>
      </c>
      <c r="E258" s="21" t="n">
        <v>431</v>
      </c>
      <c r="F258" s="21" t="n">
        <v>30</v>
      </c>
    </row>
    <row r="259">
      <c r="A259" s="23" t="n">
        <v>46159</v>
      </c>
      <c r="B259" s="21" t="inlineStr">
        <is>
          <t>LineaD22</t>
        </is>
      </c>
      <c r="C259" s="21" t="inlineStr">
        <is>
          <t>T3</t>
        </is>
      </c>
      <c r="D259" s="21" t="inlineStr">
        <is>
          <t>Pintura</t>
        </is>
      </c>
      <c r="E259" s="21" t="n">
        <v>418</v>
      </c>
      <c r="F259" s="21" t="n">
        <v>0</v>
      </c>
    </row>
    <row r="260">
      <c r="A260" s="23" t="n">
        <v>46159</v>
      </c>
      <c r="B260" s="21" t="inlineStr">
        <is>
          <t>LineaE05</t>
        </is>
      </c>
      <c r="C260" s="21" t="inlineStr">
        <is>
          <t>T1</t>
        </is>
      </c>
      <c r="D260" s="21" t="inlineStr">
        <is>
          <t>Dimensional</t>
        </is>
      </c>
      <c r="E260" s="21" t="n">
        <v>480</v>
      </c>
      <c r="F260" s="21" t="n">
        <v>15</v>
      </c>
    </row>
    <row r="261">
      <c r="A261" s="23" t="n">
        <v>46159</v>
      </c>
      <c r="B261" s="21" t="inlineStr">
        <is>
          <t>LineaE05</t>
        </is>
      </c>
      <c r="C261" s="21" t="inlineStr">
        <is>
          <t>T2</t>
        </is>
      </c>
      <c r="D261" s="21" t="inlineStr">
        <is>
          <t>Soldadura</t>
        </is>
      </c>
      <c r="E261" s="21" t="n">
        <v>484</v>
      </c>
      <c r="F261" s="21" t="n">
        <v>17</v>
      </c>
    </row>
    <row r="262">
      <c r="A262" s="23" t="n">
        <v>46159</v>
      </c>
      <c r="B262" s="21" t="inlineStr">
        <is>
          <t>LineaE05</t>
        </is>
      </c>
      <c r="C262" s="21" t="inlineStr">
        <is>
          <t>T3</t>
        </is>
      </c>
      <c r="D262" s="21" t="inlineStr">
        <is>
          <t>Funcional</t>
        </is>
      </c>
      <c r="E262" s="21" t="n">
        <v>363</v>
      </c>
      <c r="F262" s="21" t="n">
        <v>11</v>
      </c>
    </row>
    <row r="263">
      <c r="A263" s="23" t="n">
        <v>46160</v>
      </c>
      <c r="B263" s="21" t="inlineStr">
        <is>
          <t>LineaA03</t>
        </is>
      </c>
      <c r="C263" s="21" t="inlineStr">
        <is>
          <t>T1</t>
        </is>
      </c>
      <c r="D263" s="21" t="inlineStr">
        <is>
          <t>Soldadura</t>
        </is>
      </c>
      <c r="E263" s="21" t="n">
        <v>303</v>
      </c>
      <c r="F263" s="21" t="n">
        <v>12</v>
      </c>
    </row>
    <row r="264">
      <c r="A264" s="23" t="n">
        <v>46160</v>
      </c>
      <c r="B264" s="21" t="inlineStr">
        <is>
          <t>LineaA03</t>
        </is>
      </c>
      <c r="C264" s="21" t="inlineStr">
        <is>
          <t>T2</t>
        </is>
      </c>
      <c r="D264" s="21" t="inlineStr">
        <is>
          <t>Funcional</t>
        </is>
      </c>
      <c r="E264" s="21" t="n">
        <v>583</v>
      </c>
      <c r="F264" s="21" t="n">
        <v>23</v>
      </c>
    </row>
    <row r="265">
      <c r="A265" s="23" t="n">
        <v>46160</v>
      </c>
      <c r="B265" s="21" t="inlineStr">
        <is>
          <t>LineaA03</t>
        </is>
      </c>
      <c r="C265" s="21" t="inlineStr">
        <is>
          <t>T3</t>
        </is>
      </c>
      <c r="D265" s="21" t="inlineStr">
        <is>
          <t>Visual</t>
        </is>
      </c>
      <c r="E265" s="21" t="n">
        <v>307</v>
      </c>
      <c r="F265" s="21" t="n">
        <v>5</v>
      </c>
    </row>
    <row r="266">
      <c r="A266" s="23" t="n">
        <v>46160</v>
      </c>
      <c r="B266" s="21" t="inlineStr">
        <is>
          <t>LineaB07</t>
        </is>
      </c>
      <c r="C266" s="21" t="inlineStr">
        <is>
          <t>T1</t>
        </is>
      </c>
      <c r="D266" s="21" t="inlineStr">
        <is>
          <t>Dimensional</t>
        </is>
      </c>
      <c r="E266" s="21" t="n">
        <v>338</v>
      </c>
      <c r="F266" s="21" t="n">
        <v>9</v>
      </c>
    </row>
    <row r="267">
      <c r="A267" s="23" t="n">
        <v>46160</v>
      </c>
      <c r="B267" s="21" t="inlineStr">
        <is>
          <t>LineaB07</t>
        </is>
      </c>
      <c r="C267" s="21" t="inlineStr">
        <is>
          <t>T2</t>
        </is>
      </c>
      <c r="D267" s="21" t="inlineStr">
        <is>
          <t>Dimensional</t>
        </is>
      </c>
      <c r="E267" s="21" t="n">
        <v>494</v>
      </c>
      <c r="F267" s="21" t="n">
        <v>17</v>
      </c>
    </row>
    <row r="268">
      <c r="A268" s="23" t="n">
        <v>46160</v>
      </c>
      <c r="B268" s="21" t="inlineStr">
        <is>
          <t>LineaB07</t>
        </is>
      </c>
      <c r="C268" s="21" t="inlineStr">
        <is>
          <t>T3</t>
        </is>
      </c>
      <c r="D268" s="21" t="inlineStr">
        <is>
          <t>Pintura</t>
        </is>
      </c>
      <c r="E268" s="21" t="n">
        <v>264</v>
      </c>
      <c r="F268" s="21" t="n">
        <v>6</v>
      </c>
    </row>
    <row r="269">
      <c r="A269" s="23" t="n">
        <v>46160</v>
      </c>
      <c r="B269" s="21" t="inlineStr">
        <is>
          <t>LineaC11</t>
        </is>
      </c>
      <c r="C269" s="21" t="inlineStr">
        <is>
          <t>T1</t>
        </is>
      </c>
      <c r="D269" s="21" t="inlineStr">
        <is>
          <t>Dimensional</t>
        </is>
      </c>
      <c r="E269" s="21" t="n">
        <v>247</v>
      </c>
      <c r="F269" s="21" t="n">
        <v>3</v>
      </c>
    </row>
    <row r="270">
      <c r="A270" s="23" t="n">
        <v>46160</v>
      </c>
      <c r="B270" s="21" t="inlineStr">
        <is>
          <t>LineaC11</t>
        </is>
      </c>
      <c r="C270" s="21" t="inlineStr">
        <is>
          <t>T2</t>
        </is>
      </c>
      <c r="D270" s="21" t="inlineStr">
        <is>
          <t>Visual</t>
        </is>
      </c>
      <c r="E270" s="21" t="n">
        <v>327</v>
      </c>
      <c r="F270" s="21" t="n">
        <v>4</v>
      </c>
    </row>
    <row r="271">
      <c r="A271" s="23" t="n">
        <v>46160</v>
      </c>
      <c r="B271" s="21" t="inlineStr">
        <is>
          <t>LineaC11</t>
        </is>
      </c>
      <c r="C271" s="21" t="inlineStr">
        <is>
          <t>T3</t>
        </is>
      </c>
      <c r="D271" s="21" t="inlineStr">
        <is>
          <t>Soldadura</t>
        </is>
      </c>
      <c r="E271" s="21" t="n">
        <v>359</v>
      </c>
      <c r="F271" s="21" t="n">
        <v>15</v>
      </c>
    </row>
    <row r="272">
      <c r="A272" s="23" t="n">
        <v>46160</v>
      </c>
      <c r="B272" s="21" t="inlineStr">
        <is>
          <t>LineaD22</t>
        </is>
      </c>
      <c r="C272" s="21" t="inlineStr">
        <is>
          <t>T1</t>
        </is>
      </c>
      <c r="D272" s="21" t="inlineStr">
        <is>
          <t>Visual</t>
        </is>
      </c>
      <c r="E272" s="21" t="n">
        <v>265</v>
      </c>
      <c r="F272" s="21" t="n">
        <v>14</v>
      </c>
    </row>
    <row r="273">
      <c r="A273" s="23" t="n">
        <v>46160</v>
      </c>
      <c r="B273" s="21" t="inlineStr">
        <is>
          <t>LineaD22</t>
        </is>
      </c>
      <c r="C273" s="21" t="inlineStr">
        <is>
          <t>T2</t>
        </is>
      </c>
      <c r="D273" s="21" t="inlineStr">
        <is>
          <t>Visual</t>
        </is>
      </c>
      <c r="E273" s="21" t="n">
        <v>500</v>
      </c>
      <c r="F273" s="21" t="n">
        <v>17</v>
      </c>
    </row>
    <row r="274">
      <c r="A274" s="23" t="n">
        <v>46160</v>
      </c>
      <c r="B274" s="21" t="inlineStr">
        <is>
          <t>LineaD22</t>
        </is>
      </c>
      <c r="C274" s="21" t="inlineStr">
        <is>
          <t>T3</t>
        </is>
      </c>
      <c r="D274" s="21" t="inlineStr">
        <is>
          <t>Funcional</t>
        </is>
      </c>
      <c r="E274" s="21" t="n">
        <v>200</v>
      </c>
      <c r="F274" s="21" t="n">
        <v>12</v>
      </c>
    </row>
    <row r="275">
      <c r="A275" s="23" t="n">
        <v>46160</v>
      </c>
      <c r="B275" s="21" t="inlineStr">
        <is>
          <t>LineaE05</t>
        </is>
      </c>
      <c r="C275" s="21" t="inlineStr">
        <is>
          <t>T1</t>
        </is>
      </c>
      <c r="D275" s="21" t="inlineStr">
        <is>
          <t>Visual</t>
        </is>
      </c>
      <c r="E275" s="21" t="n">
        <v>439</v>
      </c>
      <c r="F275" s="21" t="n">
        <v>19</v>
      </c>
    </row>
    <row r="276">
      <c r="A276" s="23" t="n">
        <v>46160</v>
      </c>
      <c r="B276" s="21" t="inlineStr">
        <is>
          <t>LineaE05</t>
        </is>
      </c>
      <c r="C276" s="21" t="inlineStr">
        <is>
          <t>T2</t>
        </is>
      </c>
      <c r="D276" s="21" t="inlineStr">
        <is>
          <t>Pintura</t>
        </is>
      </c>
      <c r="E276" s="21" t="n">
        <v>327</v>
      </c>
      <c r="F276" s="21" t="n">
        <v>10</v>
      </c>
    </row>
    <row r="277">
      <c r="A277" s="23" t="n">
        <v>46160</v>
      </c>
      <c r="B277" s="21" t="inlineStr">
        <is>
          <t>LineaE05</t>
        </is>
      </c>
      <c r="C277" s="21" t="inlineStr">
        <is>
          <t>T3</t>
        </is>
      </c>
      <c r="D277" s="21" t="inlineStr">
        <is>
          <t>Soldadura</t>
        </is>
      </c>
      <c r="E277" s="21" t="n">
        <v>467</v>
      </c>
      <c r="F277" s="21" t="n">
        <v>9</v>
      </c>
    </row>
    <row r="278">
      <c r="A278" s="23" t="n">
        <v>46161</v>
      </c>
      <c r="B278" s="21" t="inlineStr">
        <is>
          <t>LineaA03</t>
        </is>
      </c>
      <c r="C278" s="21" t="inlineStr">
        <is>
          <t>T1</t>
        </is>
      </c>
      <c r="D278" s="21" t="inlineStr">
        <is>
          <t>Visual</t>
        </is>
      </c>
      <c r="E278" s="21" t="n">
        <v>569</v>
      </c>
      <c r="F278" s="21" t="n">
        <v>12</v>
      </c>
    </row>
    <row r="279">
      <c r="A279" s="23" t="n">
        <v>46161</v>
      </c>
      <c r="B279" s="21" t="inlineStr">
        <is>
          <t>LineaA03</t>
        </is>
      </c>
      <c r="C279" s="21" t="inlineStr">
        <is>
          <t>T2</t>
        </is>
      </c>
      <c r="D279" s="21" t="inlineStr">
        <is>
          <t>Funcional</t>
        </is>
      </c>
      <c r="E279" s="21" t="n">
        <v>243</v>
      </c>
      <c r="F279" s="21" t="n">
        <v>0</v>
      </c>
    </row>
    <row r="280">
      <c r="A280" s="23" t="n">
        <v>46161</v>
      </c>
      <c r="B280" s="21" t="inlineStr">
        <is>
          <t>LineaA03</t>
        </is>
      </c>
      <c r="C280" s="21" t="inlineStr">
        <is>
          <t>T3</t>
        </is>
      </c>
      <c r="D280" s="21" t="inlineStr">
        <is>
          <t>Pintura</t>
        </is>
      </c>
      <c r="E280" s="21" t="n">
        <v>597</v>
      </c>
      <c r="F280" s="21" t="n">
        <v>33</v>
      </c>
    </row>
    <row r="281">
      <c r="A281" s="23" t="n">
        <v>46161</v>
      </c>
      <c r="B281" s="21" t="inlineStr">
        <is>
          <t>LineaB07</t>
        </is>
      </c>
      <c r="C281" s="21" t="inlineStr">
        <is>
          <t>T1</t>
        </is>
      </c>
      <c r="D281" s="21" t="inlineStr">
        <is>
          <t>Soldadura</t>
        </is>
      </c>
      <c r="E281" s="21" t="n">
        <v>491</v>
      </c>
      <c r="F281" s="21" t="n">
        <v>17</v>
      </c>
    </row>
    <row r="282">
      <c r="A282" s="23" t="n">
        <v>46161</v>
      </c>
      <c r="B282" s="21" t="inlineStr">
        <is>
          <t>LineaB07</t>
        </is>
      </c>
      <c r="C282" s="21" t="inlineStr">
        <is>
          <t>T2</t>
        </is>
      </c>
      <c r="D282" s="21" t="inlineStr">
        <is>
          <t>Dimensional</t>
        </is>
      </c>
      <c r="E282" s="21" t="n">
        <v>530</v>
      </c>
      <c r="F282" s="21" t="n">
        <v>11</v>
      </c>
    </row>
    <row r="283">
      <c r="A283" s="23" t="n">
        <v>46161</v>
      </c>
      <c r="B283" s="21" t="inlineStr">
        <is>
          <t>LineaB07</t>
        </is>
      </c>
      <c r="C283" s="21" t="inlineStr">
        <is>
          <t>T3</t>
        </is>
      </c>
      <c r="D283" s="21" t="inlineStr">
        <is>
          <t>Visual</t>
        </is>
      </c>
      <c r="E283" s="21" t="n">
        <v>470</v>
      </c>
      <c r="F283" s="21" t="n">
        <v>0</v>
      </c>
    </row>
    <row r="284">
      <c r="A284" s="23" t="n">
        <v>46161</v>
      </c>
      <c r="B284" s="21" t="inlineStr">
        <is>
          <t>LineaC11</t>
        </is>
      </c>
      <c r="C284" s="21" t="inlineStr">
        <is>
          <t>T1</t>
        </is>
      </c>
      <c r="D284" s="21" t="inlineStr">
        <is>
          <t>Dimensional</t>
        </is>
      </c>
      <c r="E284" s="21" t="n">
        <v>557</v>
      </c>
      <c r="F284" s="21" t="n">
        <v>17</v>
      </c>
    </row>
    <row r="285">
      <c r="A285" s="23" t="n">
        <v>46161</v>
      </c>
      <c r="B285" s="21" t="inlineStr">
        <is>
          <t>LineaC11</t>
        </is>
      </c>
      <c r="C285" s="21" t="inlineStr">
        <is>
          <t>T2</t>
        </is>
      </c>
      <c r="D285" s="21" t="inlineStr">
        <is>
          <t>Funcional</t>
        </is>
      </c>
      <c r="E285" s="21" t="n">
        <v>468</v>
      </c>
      <c r="F285" s="21" t="n">
        <v>10</v>
      </c>
    </row>
    <row r="286">
      <c r="A286" s="23" t="n">
        <v>46161</v>
      </c>
      <c r="B286" s="21" t="inlineStr">
        <is>
          <t>LineaC11</t>
        </is>
      </c>
      <c r="C286" s="21" t="inlineStr">
        <is>
          <t>T3</t>
        </is>
      </c>
      <c r="D286" s="21" t="inlineStr">
        <is>
          <t>Funcional</t>
        </is>
      </c>
      <c r="E286" s="21" t="n">
        <v>298</v>
      </c>
      <c r="F286" s="21" t="n">
        <v>6</v>
      </c>
    </row>
    <row r="287">
      <c r="A287" s="23" t="n">
        <v>46161</v>
      </c>
      <c r="B287" s="21" t="inlineStr">
        <is>
          <t>LineaD22</t>
        </is>
      </c>
      <c r="C287" s="21" t="inlineStr">
        <is>
          <t>T1</t>
        </is>
      </c>
      <c r="D287" s="21" t="inlineStr">
        <is>
          <t>Soldadura</t>
        </is>
      </c>
      <c r="E287" s="21" t="n">
        <v>200</v>
      </c>
      <c r="F287" s="21" t="n">
        <v>7</v>
      </c>
    </row>
    <row r="288">
      <c r="A288" s="23" t="n">
        <v>46161</v>
      </c>
      <c r="B288" s="21" t="inlineStr">
        <is>
          <t>LineaD22</t>
        </is>
      </c>
      <c r="C288" s="21" t="inlineStr">
        <is>
          <t>T2</t>
        </is>
      </c>
      <c r="D288" s="21" t="inlineStr">
        <is>
          <t>Dimensional</t>
        </is>
      </c>
      <c r="E288" s="21" t="n">
        <v>475</v>
      </c>
      <c r="F288" s="21" t="n">
        <v>11</v>
      </c>
    </row>
    <row r="289">
      <c r="A289" s="23" t="n">
        <v>46161</v>
      </c>
      <c r="B289" s="21" t="inlineStr">
        <is>
          <t>LineaD22</t>
        </is>
      </c>
      <c r="C289" s="21" t="inlineStr">
        <is>
          <t>T3</t>
        </is>
      </c>
      <c r="D289" s="21" t="inlineStr">
        <is>
          <t>Pintura</t>
        </is>
      </c>
      <c r="E289" s="21" t="n">
        <v>530</v>
      </c>
      <c r="F289" s="21" t="n">
        <v>24</v>
      </c>
    </row>
    <row r="290">
      <c r="A290" s="23" t="n">
        <v>46161</v>
      </c>
      <c r="B290" s="21" t="inlineStr">
        <is>
          <t>LineaE05</t>
        </is>
      </c>
      <c r="C290" s="21" t="inlineStr">
        <is>
          <t>T1</t>
        </is>
      </c>
      <c r="D290" s="21" t="inlineStr">
        <is>
          <t>Soldadura</t>
        </is>
      </c>
      <c r="E290" s="21" t="n">
        <v>443</v>
      </c>
      <c r="F290" s="21" t="n">
        <v>5</v>
      </c>
    </row>
    <row r="291">
      <c r="A291" s="23" t="n">
        <v>46161</v>
      </c>
      <c r="B291" s="21" t="inlineStr">
        <is>
          <t>LineaE05</t>
        </is>
      </c>
      <c r="C291" s="21" t="inlineStr">
        <is>
          <t>T2</t>
        </is>
      </c>
      <c r="D291" s="21" t="inlineStr">
        <is>
          <t>Dimensional</t>
        </is>
      </c>
      <c r="E291" s="21" t="n">
        <v>410</v>
      </c>
      <c r="F291" s="21" t="n">
        <v>11</v>
      </c>
    </row>
    <row r="292">
      <c r="A292" s="23" t="n">
        <v>46161</v>
      </c>
      <c r="B292" s="21" t="inlineStr">
        <is>
          <t>LineaE05</t>
        </is>
      </c>
      <c r="C292" s="21" t="inlineStr">
        <is>
          <t>T3</t>
        </is>
      </c>
      <c r="D292" s="21" t="inlineStr">
        <is>
          <t>Visual</t>
        </is>
      </c>
      <c r="E292" s="21" t="n">
        <v>228</v>
      </c>
      <c r="F292" s="21" t="n">
        <v>10</v>
      </c>
    </row>
    <row r="293">
      <c r="A293" s="23" t="n">
        <v>46162</v>
      </c>
      <c r="B293" s="21" t="inlineStr">
        <is>
          <t>LineaA03</t>
        </is>
      </c>
      <c r="C293" s="21" t="inlineStr">
        <is>
          <t>T1</t>
        </is>
      </c>
      <c r="D293" s="21" t="inlineStr">
        <is>
          <t>Dimensional</t>
        </is>
      </c>
      <c r="E293" s="21" t="n">
        <v>241</v>
      </c>
      <c r="F293" s="21" t="n">
        <v>7</v>
      </c>
    </row>
    <row r="294">
      <c r="A294" s="23" t="n">
        <v>46162</v>
      </c>
      <c r="B294" s="21" t="inlineStr">
        <is>
          <t>LineaA03</t>
        </is>
      </c>
      <c r="C294" s="21" t="inlineStr">
        <is>
          <t>T2</t>
        </is>
      </c>
      <c r="D294" s="21" t="inlineStr">
        <is>
          <t>Pintura</t>
        </is>
      </c>
      <c r="E294" s="21" t="n">
        <v>316</v>
      </c>
      <c r="F294" s="21" t="n">
        <v>4</v>
      </c>
    </row>
    <row r="295">
      <c r="A295" s="23" t="n">
        <v>46162</v>
      </c>
      <c r="B295" s="21" t="inlineStr">
        <is>
          <t>LineaA03</t>
        </is>
      </c>
      <c r="C295" s="21" t="inlineStr">
        <is>
          <t>T3</t>
        </is>
      </c>
      <c r="D295" s="21" t="inlineStr">
        <is>
          <t>Soldadura</t>
        </is>
      </c>
      <c r="E295" s="21" t="n">
        <v>452</v>
      </c>
      <c r="F295" s="21" t="n">
        <v>0</v>
      </c>
    </row>
    <row r="296">
      <c r="A296" s="23" t="n">
        <v>46162</v>
      </c>
      <c r="B296" s="21" t="inlineStr">
        <is>
          <t>LineaB07</t>
        </is>
      </c>
      <c r="C296" s="21" t="inlineStr">
        <is>
          <t>T1</t>
        </is>
      </c>
      <c r="D296" s="21" t="inlineStr">
        <is>
          <t>Visual</t>
        </is>
      </c>
      <c r="E296" s="21" t="n">
        <v>556</v>
      </c>
      <c r="F296" s="21" t="n">
        <v>12</v>
      </c>
    </row>
    <row r="297">
      <c r="A297" s="23" t="n">
        <v>46162</v>
      </c>
      <c r="B297" s="21" t="inlineStr">
        <is>
          <t>LineaB07</t>
        </is>
      </c>
      <c r="C297" s="21" t="inlineStr">
        <is>
          <t>T2</t>
        </is>
      </c>
      <c r="D297" s="21" t="inlineStr">
        <is>
          <t>Soldadura</t>
        </is>
      </c>
      <c r="E297" s="21" t="n">
        <v>301</v>
      </c>
      <c r="F297" s="21" t="n">
        <v>13</v>
      </c>
    </row>
    <row r="298">
      <c r="A298" s="23" t="n">
        <v>46162</v>
      </c>
      <c r="B298" s="21" t="inlineStr">
        <is>
          <t>LineaB07</t>
        </is>
      </c>
      <c r="C298" s="21" t="inlineStr">
        <is>
          <t>T3</t>
        </is>
      </c>
      <c r="D298" s="21" t="inlineStr">
        <is>
          <t>Pintura</t>
        </is>
      </c>
      <c r="E298" s="21" t="n">
        <v>349</v>
      </c>
      <c r="F298" s="21" t="n">
        <v>10</v>
      </c>
    </row>
    <row r="299">
      <c r="A299" s="23" t="n">
        <v>46162</v>
      </c>
      <c r="B299" s="21" t="inlineStr">
        <is>
          <t>LineaC11</t>
        </is>
      </c>
      <c r="C299" s="21" t="inlineStr">
        <is>
          <t>T1</t>
        </is>
      </c>
      <c r="D299" s="21" t="inlineStr">
        <is>
          <t>Pintura</t>
        </is>
      </c>
      <c r="E299" s="21" t="n">
        <v>453</v>
      </c>
      <c r="F299" s="21" t="n">
        <v>5</v>
      </c>
    </row>
    <row r="300">
      <c r="A300" s="23" t="n">
        <v>46162</v>
      </c>
      <c r="B300" s="21" t="inlineStr">
        <is>
          <t>LineaC11</t>
        </is>
      </c>
      <c r="C300" s="21" t="inlineStr">
        <is>
          <t>T2</t>
        </is>
      </c>
      <c r="D300" s="21" t="inlineStr">
        <is>
          <t>Visual</t>
        </is>
      </c>
      <c r="E300" s="21" t="n">
        <v>359</v>
      </c>
      <c r="F300" s="21" t="n">
        <v>11</v>
      </c>
    </row>
    <row r="301">
      <c r="A301" s="23" t="n">
        <v>46162</v>
      </c>
      <c r="B301" s="21" t="inlineStr">
        <is>
          <t>LineaC11</t>
        </is>
      </c>
      <c r="C301" s="21" t="inlineStr">
        <is>
          <t>T3</t>
        </is>
      </c>
      <c r="D301" s="21" t="inlineStr">
        <is>
          <t>Dimensional</t>
        </is>
      </c>
      <c r="E301" s="21" t="n">
        <v>313</v>
      </c>
      <c r="F301" s="21" t="n">
        <v>6</v>
      </c>
    </row>
    <row r="302">
      <c r="A302" s="23" t="n">
        <v>46162</v>
      </c>
      <c r="B302" s="21" t="inlineStr">
        <is>
          <t>LineaD22</t>
        </is>
      </c>
      <c r="C302" s="21" t="inlineStr">
        <is>
          <t>T1</t>
        </is>
      </c>
      <c r="D302" s="21" t="inlineStr">
        <is>
          <t>Funcional</t>
        </is>
      </c>
      <c r="E302" s="21" t="n">
        <v>589</v>
      </c>
      <c r="F302" s="21" t="n">
        <v>20</v>
      </c>
    </row>
    <row r="303">
      <c r="A303" s="23" t="n">
        <v>46162</v>
      </c>
      <c r="B303" s="21" t="inlineStr">
        <is>
          <t>LineaD22</t>
        </is>
      </c>
      <c r="C303" s="21" t="inlineStr">
        <is>
          <t>T2</t>
        </is>
      </c>
      <c r="D303" s="21" t="inlineStr">
        <is>
          <t>Funcional</t>
        </is>
      </c>
      <c r="E303" s="21" t="n">
        <v>453</v>
      </c>
      <c r="F303" s="21" t="n">
        <v>11</v>
      </c>
    </row>
    <row r="304">
      <c r="A304" s="23" t="n">
        <v>46162</v>
      </c>
      <c r="B304" s="21" t="inlineStr">
        <is>
          <t>LineaD22</t>
        </is>
      </c>
      <c r="C304" s="21" t="inlineStr">
        <is>
          <t>T3</t>
        </is>
      </c>
      <c r="D304" s="21" t="inlineStr">
        <is>
          <t>Soldadura</t>
        </is>
      </c>
      <c r="E304" s="21" t="n">
        <v>295</v>
      </c>
      <c r="F304" s="21" t="n">
        <v>12</v>
      </c>
    </row>
    <row r="305">
      <c r="A305" s="23" t="n">
        <v>46162</v>
      </c>
      <c r="B305" s="21" t="inlineStr">
        <is>
          <t>LineaE05</t>
        </is>
      </c>
      <c r="C305" s="21" t="inlineStr">
        <is>
          <t>T1</t>
        </is>
      </c>
      <c r="D305" s="21" t="inlineStr">
        <is>
          <t>Pintura</t>
        </is>
      </c>
      <c r="E305" s="21" t="n">
        <v>504</v>
      </c>
      <c r="F305" s="21" t="n">
        <v>9</v>
      </c>
    </row>
    <row r="306">
      <c r="A306" s="23" t="n">
        <v>46162</v>
      </c>
      <c r="B306" s="21" t="inlineStr">
        <is>
          <t>LineaE05</t>
        </is>
      </c>
      <c r="C306" s="21" t="inlineStr">
        <is>
          <t>T2</t>
        </is>
      </c>
      <c r="D306" s="21" t="inlineStr">
        <is>
          <t>Funcional</t>
        </is>
      </c>
      <c r="E306" s="21" t="n">
        <v>401</v>
      </c>
      <c r="F306" s="21" t="n">
        <v>13</v>
      </c>
    </row>
    <row r="307">
      <c r="A307" s="23" t="n">
        <v>46162</v>
      </c>
      <c r="B307" s="21" t="inlineStr">
        <is>
          <t>LineaE05</t>
        </is>
      </c>
      <c r="C307" s="21" t="inlineStr">
        <is>
          <t>T3</t>
        </is>
      </c>
      <c r="D307" s="21" t="inlineStr">
        <is>
          <t>Visual</t>
        </is>
      </c>
      <c r="E307" s="21" t="n">
        <v>272</v>
      </c>
      <c r="F307" s="21" t="n">
        <v>8</v>
      </c>
    </row>
  </sheetData>
  <mergeCells count="4">
    <mergeCell ref="A2:F2"/>
    <mergeCell ref="A1:F1"/>
    <mergeCell ref="A5:F5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2026-05-26T15:33:50Z</dcterms:created>
  <dcterms:modified xsi:type="dcterms:W3CDTF">2026-05-26T15:33:50Z</dcterms:modified>
</cp:coreProperties>
</file>